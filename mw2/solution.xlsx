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esktop\2 курс\МатСтат\модульная работа 2\"/>
    </mc:Choice>
  </mc:AlternateContent>
  <xr:revisionPtr revIDLastSave="0" documentId="13_ncr:1_{C0CC2677-F958-46AA-A5E7-C53C1CE5F68B}" xr6:coauthVersionLast="36" xr6:coauthVersionMax="36" xr10:uidLastSave="{00000000-0000-0000-0000-000000000000}"/>
  <bookViews>
    <workbookView xWindow="0" yWindow="0" windowWidth="20490" windowHeight="7545" firstSheet="1" activeTab="2" xr2:uid="{AEA23F77-1505-4663-B06F-8C5AE12B685B}"/>
  </bookViews>
  <sheets>
    <sheet name="Удаление аномалий" sheetId="1" r:id="rId1"/>
    <sheet name="Корреляционный анализ" sheetId="2" r:id="rId2"/>
    <sheet name="Регрессионный анализ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4" l="1"/>
  <c r="P5" i="4"/>
  <c r="M5" i="4"/>
  <c r="K5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4" i="4"/>
  <c r="F5" i="4"/>
  <c r="F4" i="4"/>
  <c r="F6" i="4" s="1"/>
  <c r="F7" i="4" l="1"/>
  <c r="Q5" i="2" l="1"/>
  <c r="Q6" i="2"/>
  <c r="N5" i="2"/>
  <c r="Q13" i="2" l="1"/>
</calcChain>
</file>

<file path=xl/sharedStrings.xml><?xml version="1.0" encoding="utf-8"?>
<sst xmlns="http://schemas.openxmlformats.org/spreadsheetml/2006/main" count="286" uniqueCount="121">
  <si>
    <t>Субъект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</si>
  <si>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</si>
  <si>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</si>
  <si>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</si>
  <si>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</si>
  <si>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</si>
  <si>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</si>
  <si>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</si>
  <si>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</si>
  <si>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</si>
  <si>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</si>
  <si>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</si>
  <si>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</si>
  <si>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</si>
  <si>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</si>
  <si>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</si>
  <si>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</si>
  <si>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</si>
  <si>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</si>
  <si>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</si>
  <si>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</si>
  <si>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</t>
  </si>
  <si>
    <t>Алтайский край</t>
  </si>
  <si>
    <t>Забайкальский край</t>
  </si>
  <si>
    <t>Камчатский край</t>
  </si>
  <si>
    <t>Краснодарский край</t>
  </si>
  <si>
    <t>Красноярский край</t>
  </si>
  <si>
    <t>Пермский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</si>
  <si>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</si>
  <si>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</si>
  <si>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</si>
  <si>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</si>
  <si>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</si>
  <si>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</si>
  <si>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</si>
  <si>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</si>
  <si>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</si>
  <si>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</si>
  <si>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</si>
  <si>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</si>
  <si>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</si>
  <si>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</si>
  <si>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</si>
  <si>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</si>
  <si>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</si>
  <si>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</si>
  <si>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</si>
  <si>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</si>
  <si>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</si>
  <si>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</si>
  <si>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</si>
  <si>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</si>
  <si>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</si>
  <si>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</si>
  <si>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</si>
  <si>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</si>
  <si>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</si>
  <si>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</si>
  <si>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</si>
  <si>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</si>
  <si>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</si>
  <si>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</si>
  <si>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</si>
  <si>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</si>
  <si>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</si>
  <si>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</si>
  <si>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</si>
  <si>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</si>
  <si>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</si>
  <si>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</si>
  <si>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</si>
  <si>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</si>
  <si>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</si>
  <si>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</si>
  <si>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</si>
  <si>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</si>
  <si>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Ярославская область</t>
  </si>
  <si>
    <t>Еврейская автономная область</t>
  </si>
  <si>
    <t>Ненецкий автономный округ</t>
  </si>
  <si>
    <t>Ханты-Мансийский автономный округ</t>
  </si>
  <si>
    <t>Чукотский автономный округ</t>
  </si>
  <si>
    <t>Ямало-Ненецкий автономный округ</t>
  </si>
  <si>
    <t>Москва</t>
  </si>
  <si>
    <t>Санкт-Петербург</t>
  </si>
  <si>
    <t>Севастополь</t>
  </si>
  <si>
    <t>Республика Крым</t>
  </si>
  <si>
    <t>Температура (°C) - y</t>
  </si>
  <si>
    <t>Широта (°N) - x</t>
  </si>
  <si>
    <t>Таблица 1. Широта (°N) и температура воздуха (°C) по субъектам РФ на 1 июля 2021 г. в 13:00</t>
  </si>
  <si>
    <t>Проведён визуальный анализ диаграммы рассеяния, в ходе которого выявлены аномальные наблюдения (выделены желтым в Таблице 1). Они не подчиняются общему тренду.</t>
  </si>
  <si>
    <t>Таблица 2. Широта (°N) и температура воздуха (°C) по субъектам РФ на 1 июля 2021 г. в 13:00 (исходный ряд без аномалий)</t>
  </si>
  <si>
    <t>Коэф. корреляции</t>
  </si>
  <si>
    <t>Формулировка гипотезы</t>
  </si>
  <si>
    <t>H0: r_xy = 0; H1: r_xy != 0</t>
  </si>
  <si>
    <t>Проверка значимости</t>
  </si>
  <si>
    <t>t_т</t>
  </si>
  <si>
    <t>t_р &gt; t_т</t>
  </si>
  <si>
    <t>t_р</t>
  </si>
  <si>
    <t>Можно ещё p_value, но посчитаю методом, который часто встречается в учебниках.</t>
  </si>
  <si>
    <t>p_value</t>
  </si>
  <si>
    <t>Вывод</t>
  </si>
  <si>
    <t>Таблица 3. Корреляционный анализ</t>
  </si>
  <si>
    <t>Значение p_value говорит о том, что все полученные результаты абсолютно точны и случайными быть не могут.</t>
  </si>
  <si>
    <t>Таблица 4. Широта (°N) и температура воздуха (°C) по субъектам РФ на 1 июля 2021 г. в 13:00 (исходный ряд без аномалий)</t>
  </si>
  <si>
    <t>Н0 отклоняется (принимается Н1, т.е. связь между температурой 01.07.21 в 13:00 и широтой значима). Корреляционный анализ показал наличие заметной отрицательной линейной связи при коэффициенте корреляции: -0.61. Такие выводы сделаны на основании проверки гипотезы о значимости коэффициента корреляции при заданных уровнях значимости альфа - 0.05 и числе степеней свободы - 76.</t>
  </si>
  <si>
    <t>Таблица 5. Линейная модель</t>
  </si>
  <si>
    <t>среднее x</t>
  </si>
  <si>
    <t>среднее y</t>
  </si>
  <si>
    <t>b₁</t>
  </si>
  <si>
    <t>b₀</t>
  </si>
  <si>
    <t>ŷ = 50.2 - 0.49x</t>
  </si>
  <si>
    <t>При увеличении северной широты на 1 градус, температура в среднем уменьшается на 0.49.</t>
  </si>
  <si>
    <t>Таблица 6. Расчетные y</t>
  </si>
  <si>
    <t>Таблица 7. Оценка качества модели</t>
  </si>
  <si>
    <t>R²</t>
  </si>
  <si>
    <t>H0: R^2 = 0; H1: R^2 != 0</t>
  </si>
  <si>
    <t>F_р</t>
  </si>
  <si>
    <t>F_т</t>
  </si>
  <si>
    <t>F_р &gt; F_т</t>
  </si>
  <si>
    <t>H0 отклоняется с вероятностью ошибки 0.05, принимается гипотеза H1, т.е. уравнение регрессии значимо (модель значима). У модели умеренная предсказательная способность, что объясняется зависимостью температуры не только от широты, но и от других параметров (например, от типа климата).</t>
  </si>
  <si>
    <t>Значение коэффициента детерминации указывает на умеренную объяснительную способность модели.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</si>
</sst>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Рис. 1. Зависимость температуры от широты субъектов РФ на 01.07.2021 в 13:00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'Удаление аномалий'!$C$4:$C$88</c:f>
              <c:numCache>
                <c:formatCode>General</c:formatCode>
                <c:ptCount val="85"/>
                <c:pt idx="0">
                  <c:v>44.609400000000001</c:v>
                </c:pt>
                <c:pt idx="1">
                  <c:v>51.958399999999997</c:v>
                </c:pt>
                <c:pt idx="2">
                  <c:v>54.738799999999998</c:v>
                </c:pt>
                <c:pt idx="3">
                  <c:v>51.8339</c:v>
                </c:pt>
                <c:pt idx="4">
                  <c:v>42.984900000000003</c:v>
                </c:pt>
                <c:pt idx="5">
                  <c:v>43.157800000000002</c:v>
                </c:pt>
                <c:pt idx="6">
                  <c:v>43.484400000000001</c:v>
                </c:pt>
                <c:pt idx="7">
                  <c:v>46.308300000000003</c:v>
                </c:pt>
                <c:pt idx="8">
                  <c:v>44.226199999999999</c:v>
                </c:pt>
                <c:pt idx="9">
                  <c:v>61.782899999999998</c:v>
                </c:pt>
                <c:pt idx="10">
                  <c:v>61.666699999999999</c:v>
                </c:pt>
                <c:pt idx="11">
                  <c:v>56.638599999999997</c:v>
                </c:pt>
                <c:pt idx="12">
                  <c:v>54.180799999999998</c:v>
                </c:pt>
                <c:pt idx="13">
                  <c:v>62.028100000000002</c:v>
                </c:pt>
                <c:pt idx="14">
                  <c:v>43.042000000000002</c:v>
                </c:pt>
                <c:pt idx="15">
                  <c:v>55.788699999999999</c:v>
                </c:pt>
                <c:pt idx="16">
                  <c:v>51.719099999999997</c:v>
                </c:pt>
                <c:pt idx="17">
                  <c:v>56.852600000000002</c:v>
                </c:pt>
                <c:pt idx="18">
                  <c:v>53.720599999999997</c:v>
                </c:pt>
                <c:pt idx="19">
                  <c:v>43.317799999999998</c:v>
                </c:pt>
                <c:pt idx="20">
                  <c:v>56.119399999999999</c:v>
                </c:pt>
                <c:pt idx="21">
                  <c:v>53.347799999999999</c:v>
                </c:pt>
                <c:pt idx="22">
                  <c:v>52.033299999999997</c:v>
                </c:pt>
                <c:pt idx="23">
                  <c:v>53.0167</c:v>
                </c:pt>
                <c:pt idx="24">
                  <c:v>45.035499999999999</c:v>
                </c:pt>
                <c:pt idx="25">
                  <c:v>56.008000000000003</c:v>
                </c:pt>
                <c:pt idx="26">
                  <c:v>58.0105</c:v>
                </c:pt>
                <c:pt idx="27">
                  <c:v>43.115499999999997</c:v>
                </c:pt>
                <c:pt idx="28">
                  <c:v>45.0428</c:v>
                </c:pt>
                <c:pt idx="29">
                  <c:v>48.480200000000004</c:v>
                </c:pt>
                <c:pt idx="30">
                  <c:v>50.290599999999998</c:v>
                </c:pt>
                <c:pt idx="31">
                  <c:v>64.539299999999997</c:v>
                </c:pt>
                <c:pt idx="32">
                  <c:v>46.3476</c:v>
                </c:pt>
                <c:pt idx="33">
                  <c:v>50.597799999999999</c:v>
                </c:pt>
                <c:pt idx="34">
                  <c:v>53.255099999999999</c:v>
                </c:pt>
                <c:pt idx="35">
                  <c:v>56.129100000000001</c:v>
                </c:pt>
                <c:pt idx="36">
                  <c:v>48.707999999999998</c:v>
                </c:pt>
                <c:pt idx="37">
                  <c:v>59.218699999999998</c:v>
                </c:pt>
                <c:pt idx="38">
                  <c:v>51.671999999999997</c:v>
                </c:pt>
                <c:pt idx="39">
                  <c:v>56.999499999999998</c:v>
                </c:pt>
                <c:pt idx="40">
                  <c:v>52.286900000000003</c:v>
                </c:pt>
                <c:pt idx="41">
                  <c:v>54.7104</c:v>
                </c:pt>
                <c:pt idx="42">
                  <c:v>54.518900000000002</c:v>
                </c:pt>
                <c:pt idx="43">
                  <c:v>55.353999999999999</c:v>
                </c:pt>
                <c:pt idx="44">
                  <c:v>58.6036</c:v>
                </c:pt>
                <c:pt idx="45">
                  <c:v>57.767800000000001</c:v>
                </c:pt>
                <c:pt idx="46">
                  <c:v>55.446100000000001</c:v>
                </c:pt>
                <c:pt idx="47">
                  <c:v>51.73</c:v>
                </c:pt>
                <c:pt idx="48">
                  <c:v>59.569899999999997</c:v>
                </c:pt>
                <c:pt idx="49">
                  <c:v>52.6036</c:v>
                </c:pt>
                <c:pt idx="50">
                  <c:v>59.561799999999998</c:v>
                </c:pt>
                <c:pt idx="51">
                  <c:v>55.755800000000001</c:v>
                </c:pt>
                <c:pt idx="52">
                  <c:v>68.970699999999994</c:v>
                </c:pt>
                <c:pt idx="53">
                  <c:v>56.296500000000002</c:v>
                </c:pt>
                <c:pt idx="54">
                  <c:v>58.521500000000003</c:v>
                </c:pt>
                <c:pt idx="55">
                  <c:v>55.008400000000002</c:v>
                </c:pt>
                <c:pt idx="56">
                  <c:v>54.991399999999999</c:v>
                </c:pt>
                <c:pt idx="57">
                  <c:v>51.7682</c:v>
                </c:pt>
                <c:pt idx="58">
                  <c:v>52.960999999999999</c:v>
                </c:pt>
                <c:pt idx="59">
                  <c:v>53.195900000000002</c:v>
                </c:pt>
                <c:pt idx="60">
                  <c:v>57.819400000000002</c:v>
                </c:pt>
                <c:pt idx="61">
                  <c:v>47.235700000000001</c:v>
                </c:pt>
                <c:pt idx="62">
                  <c:v>54.6265</c:v>
                </c:pt>
                <c:pt idx="63">
                  <c:v>53.241500000000002</c:v>
                </c:pt>
                <c:pt idx="64">
                  <c:v>51.53</c:v>
                </c:pt>
                <c:pt idx="65">
                  <c:v>46.959099999999999</c:v>
                </c:pt>
                <c:pt idx="66">
                  <c:v>56.838900000000002</c:v>
                </c:pt>
                <c:pt idx="67">
                  <c:v>54.782800000000002</c:v>
                </c:pt>
                <c:pt idx="68">
                  <c:v>52.721499999999999</c:v>
                </c:pt>
                <c:pt idx="69">
                  <c:v>56.863599999999998</c:v>
                </c:pt>
                <c:pt idx="70">
                  <c:v>56.496499999999997</c:v>
                </c:pt>
                <c:pt idx="71">
                  <c:v>54.204000000000001</c:v>
                </c:pt>
                <c:pt idx="72">
                  <c:v>57.152999999999999</c:v>
                </c:pt>
                <c:pt idx="73">
                  <c:v>54.3142</c:v>
                </c:pt>
                <c:pt idx="74">
                  <c:v>55.164400000000001</c:v>
                </c:pt>
                <c:pt idx="75">
                  <c:v>57.626100000000001</c:v>
                </c:pt>
                <c:pt idx="76">
                  <c:v>48.79</c:v>
                </c:pt>
                <c:pt idx="77">
                  <c:v>67.666700000000006</c:v>
                </c:pt>
                <c:pt idx="78">
                  <c:v>61.004600000000003</c:v>
                </c:pt>
                <c:pt idx="79">
                  <c:v>64.733699999999999</c:v>
                </c:pt>
                <c:pt idx="80">
                  <c:v>66.533299999999997</c:v>
                </c:pt>
                <c:pt idx="81">
                  <c:v>55.755800000000001</c:v>
                </c:pt>
                <c:pt idx="82">
                  <c:v>59.9343</c:v>
                </c:pt>
                <c:pt idx="83">
                  <c:v>44.616700000000002</c:v>
                </c:pt>
                <c:pt idx="84">
                  <c:v>45</c:v>
                </c:pt>
              </c:numCache>
            </c:numRef>
          </c:xVal>
          <c:yVal>
            <c:numRef>
              <c:f>'Удаление аномалий'!$B$4:$B$88</c:f>
              <c:numCache>
                <c:formatCode>General</c:formatCode>
                <c:ptCount val="85"/>
                <c:pt idx="0">
                  <c:v>28.9</c:v>
                </c:pt>
                <c:pt idx="1">
                  <c:v>22.3</c:v>
                </c:pt>
                <c:pt idx="2">
                  <c:v>30.6</c:v>
                </c:pt>
                <c:pt idx="3">
                  <c:v>15.9</c:v>
                </c:pt>
                <c:pt idx="4">
                  <c:v>29.7</c:v>
                </c:pt>
                <c:pt idx="5">
                  <c:v>26.9</c:v>
                </c:pt>
                <c:pt idx="6">
                  <c:v>27.7</c:v>
                </c:pt>
                <c:pt idx="7">
                  <c:v>31.6</c:v>
                </c:pt>
                <c:pt idx="8">
                  <c:v>28.2</c:v>
                </c:pt>
                <c:pt idx="9">
                  <c:v>19.2</c:v>
                </c:pt>
                <c:pt idx="10">
                  <c:v>21.1</c:v>
                </c:pt>
                <c:pt idx="11">
                  <c:v>23.7</c:v>
                </c:pt>
                <c:pt idx="12">
                  <c:v>22.1</c:v>
                </c:pt>
                <c:pt idx="13">
                  <c:v>33.299999999999997</c:v>
                </c:pt>
                <c:pt idx="14">
                  <c:v>26.9</c:v>
                </c:pt>
                <c:pt idx="15">
                  <c:v>24.7</c:v>
                </c:pt>
                <c:pt idx="16">
                  <c:v>23.9</c:v>
                </c:pt>
                <c:pt idx="17">
                  <c:v>27.4</c:v>
                </c:pt>
                <c:pt idx="18">
                  <c:v>19.5</c:v>
                </c:pt>
                <c:pt idx="19">
                  <c:v>31.5</c:v>
                </c:pt>
                <c:pt idx="20">
                  <c:v>21.9</c:v>
                </c:pt>
                <c:pt idx="21">
                  <c:v>22.8</c:v>
                </c:pt>
                <c:pt idx="22">
                  <c:v>20.5</c:v>
                </c:pt>
                <c:pt idx="23">
                  <c:v>21.4</c:v>
                </c:pt>
                <c:pt idx="24">
                  <c:v>29.2</c:v>
                </c:pt>
                <c:pt idx="25">
                  <c:v>19.2</c:v>
                </c:pt>
                <c:pt idx="26">
                  <c:v>32.799999999999997</c:v>
                </c:pt>
                <c:pt idx="27">
                  <c:v>18.399999999999999</c:v>
                </c:pt>
                <c:pt idx="28">
                  <c:v>25.5</c:v>
                </c:pt>
                <c:pt idx="29">
                  <c:v>19</c:v>
                </c:pt>
                <c:pt idx="30">
                  <c:v>21.7</c:v>
                </c:pt>
                <c:pt idx="31">
                  <c:v>17.5</c:v>
                </c:pt>
                <c:pt idx="32">
                  <c:v>33.9</c:v>
                </c:pt>
                <c:pt idx="33">
                  <c:v>27.7</c:v>
                </c:pt>
                <c:pt idx="34">
                  <c:v>25.4</c:v>
                </c:pt>
                <c:pt idx="35">
                  <c:v>22.3</c:v>
                </c:pt>
                <c:pt idx="36">
                  <c:v>29.8</c:v>
                </c:pt>
                <c:pt idx="37">
                  <c:v>20.2</c:v>
                </c:pt>
                <c:pt idx="38">
                  <c:v>25.9</c:v>
                </c:pt>
                <c:pt idx="39">
                  <c:v>23.7</c:v>
                </c:pt>
                <c:pt idx="40">
                  <c:v>21.3</c:v>
                </c:pt>
                <c:pt idx="41">
                  <c:v>26.4</c:v>
                </c:pt>
                <c:pt idx="42">
                  <c:v>22.6</c:v>
                </c:pt>
                <c:pt idx="43">
                  <c:v>20.9</c:v>
                </c:pt>
                <c:pt idx="44">
                  <c:v>21.2</c:v>
                </c:pt>
                <c:pt idx="45">
                  <c:v>24.1</c:v>
                </c:pt>
                <c:pt idx="46">
                  <c:v>35.700000000000003</c:v>
                </c:pt>
                <c:pt idx="47">
                  <c:v>26.7</c:v>
                </c:pt>
                <c:pt idx="48">
                  <c:v>24.4</c:v>
                </c:pt>
                <c:pt idx="49">
                  <c:v>24.5</c:v>
                </c:pt>
                <c:pt idx="50">
                  <c:v>17</c:v>
                </c:pt>
                <c:pt idx="51">
                  <c:v>22.3</c:v>
                </c:pt>
                <c:pt idx="52">
                  <c:v>19.7</c:v>
                </c:pt>
                <c:pt idx="53">
                  <c:v>23.3</c:v>
                </c:pt>
                <c:pt idx="54">
                  <c:v>24.2</c:v>
                </c:pt>
                <c:pt idx="55">
                  <c:v>22.6</c:v>
                </c:pt>
                <c:pt idx="56">
                  <c:v>30.6</c:v>
                </c:pt>
                <c:pt idx="57">
                  <c:v>32.4</c:v>
                </c:pt>
                <c:pt idx="58">
                  <c:v>25.8</c:v>
                </c:pt>
                <c:pt idx="59">
                  <c:v>22.6</c:v>
                </c:pt>
                <c:pt idx="60">
                  <c:v>25.9</c:v>
                </c:pt>
                <c:pt idx="61">
                  <c:v>29.3</c:v>
                </c:pt>
                <c:pt idx="62">
                  <c:v>20.9</c:v>
                </c:pt>
                <c:pt idx="63">
                  <c:v>25.4</c:v>
                </c:pt>
                <c:pt idx="64">
                  <c:v>25.2</c:v>
                </c:pt>
                <c:pt idx="65">
                  <c:v>11.1</c:v>
                </c:pt>
                <c:pt idx="66">
                  <c:v>30.5</c:v>
                </c:pt>
                <c:pt idx="67">
                  <c:v>24.9</c:v>
                </c:pt>
                <c:pt idx="68">
                  <c:v>22.6</c:v>
                </c:pt>
                <c:pt idx="69">
                  <c:v>21</c:v>
                </c:pt>
                <c:pt idx="70">
                  <c:v>19.899999999999999</c:v>
                </c:pt>
                <c:pt idx="71">
                  <c:v>22.5</c:v>
                </c:pt>
                <c:pt idx="72">
                  <c:v>33.6</c:v>
                </c:pt>
                <c:pt idx="73">
                  <c:v>22.6</c:v>
                </c:pt>
                <c:pt idx="74">
                  <c:v>30.7</c:v>
                </c:pt>
                <c:pt idx="75">
                  <c:v>22.3</c:v>
                </c:pt>
                <c:pt idx="76">
                  <c:v>16.8</c:v>
                </c:pt>
                <c:pt idx="77">
                  <c:v>9.6999999999999993</c:v>
                </c:pt>
                <c:pt idx="78">
                  <c:v>30.7</c:v>
                </c:pt>
                <c:pt idx="79">
                  <c:v>7.4</c:v>
                </c:pt>
                <c:pt idx="80">
                  <c:v>21</c:v>
                </c:pt>
                <c:pt idx="81">
                  <c:v>22.3</c:v>
                </c:pt>
                <c:pt idx="82">
                  <c:v>23.9</c:v>
                </c:pt>
                <c:pt idx="83">
                  <c:v>28</c:v>
                </c:pt>
                <c:pt idx="84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A-4727-AFF4-9D95691F1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455560"/>
        <c:axId val="474456216"/>
      </c:scatterChart>
      <c:valAx>
        <c:axId val="474455560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Широта (°</a:t>
                </a:r>
                <a:r>
                  <a:rPr lang="en-US"/>
                  <a:t>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456216"/>
        <c:crosses val="autoZero"/>
        <c:crossBetween val="midCat"/>
      </c:valAx>
      <c:valAx>
        <c:axId val="47445621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Температура (°</a:t>
                </a:r>
                <a:r>
                  <a:rPr lang="en-US"/>
                  <a:t>C)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455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Рис</a:t>
            </a:r>
            <a:r>
              <a:rPr lang="ru-RU" sz="1200" b="1" baseline="0"/>
              <a:t> 2. Корреляционное облако для широты и температуры по субъектам РФ на 1 июля 2021 г. в 13:00</a:t>
            </a:r>
            <a:endParaRPr lang="ru-RU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'Корреляционный анализ'!$C$4:$C$81</c:f>
              <c:numCache>
                <c:formatCode>General</c:formatCode>
                <c:ptCount val="78"/>
                <c:pt idx="0">
                  <c:v>44.609400000000001</c:v>
                </c:pt>
                <c:pt idx="1">
                  <c:v>51.958399999999997</c:v>
                </c:pt>
                <c:pt idx="2">
                  <c:v>54.738799999999998</c:v>
                </c:pt>
                <c:pt idx="3">
                  <c:v>51.8339</c:v>
                </c:pt>
                <c:pt idx="4">
                  <c:v>42.984900000000003</c:v>
                </c:pt>
                <c:pt idx="5">
                  <c:v>43.157800000000002</c:v>
                </c:pt>
                <c:pt idx="6">
                  <c:v>43.484400000000001</c:v>
                </c:pt>
                <c:pt idx="7">
                  <c:v>46.308300000000003</c:v>
                </c:pt>
                <c:pt idx="8">
                  <c:v>44.226199999999999</c:v>
                </c:pt>
                <c:pt idx="9">
                  <c:v>61.782899999999998</c:v>
                </c:pt>
                <c:pt idx="10">
                  <c:v>61.666699999999999</c:v>
                </c:pt>
                <c:pt idx="11">
                  <c:v>56.638599999999997</c:v>
                </c:pt>
                <c:pt idx="12">
                  <c:v>54.180799999999998</c:v>
                </c:pt>
                <c:pt idx="13">
                  <c:v>43.042000000000002</c:v>
                </c:pt>
                <c:pt idx="14">
                  <c:v>55.788699999999999</c:v>
                </c:pt>
                <c:pt idx="15">
                  <c:v>51.719099999999997</c:v>
                </c:pt>
                <c:pt idx="16">
                  <c:v>56.852600000000002</c:v>
                </c:pt>
                <c:pt idx="17">
                  <c:v>53.720599999999997</c:v>
                </c:pt>
                <c:pt idx="18">
                  <c:v>43.317799999999998</c:v>
                </c:pt>
                <c:pt idx="19">
                  <c:v>56.119399999999999</c:v>
                </c:pt>
                <c:pt idx="20">
                  <c:v>53.347799999999999</c:v>
                </c:pt>
                <c:pt idx="21">
                  <c:v>52.033299999999997</c:v>
                </c:pt>
                <c:pt idx="22">
                  <c:v>53.0167</c:v>
                </c:pt>
                <c:pt idx="23">
                  <c:v>45.035499999999999</c:v>
                </c:pt>
                <c:pt idx="24">
                  <c:v>56.008000000000003</c:v>
                </c:pt>
                <c:pt idx="25">
                  <c:v>45.0428</c:v>
                </c:pt>
                <c:pt idx="26">
                  <c:v>48.480200000000004</c:v>
                </c:pt>
                <c:pt idx="27">
                  <c:v>50.290599999999998</c:v>
                </c:pt>
                <c:pt idx="28">
                  <c:v>64.539299999999997</c:v>
                </c:pt>
                <c:pt idx="29">
                  <c:v>46.3476</c:v>
                </c:pt>
                <c:pt idx="30">
                  <c:v>50.597799999999999</c:v>
                </c:pt>
                <c:pt idx="31">
                  <c:v>53.255099999999999</c:v>
                </c:pt>
                <c:pt idx="32">
                  <c:v>56.129100000000001</c:v>
                </c:pt>
                <c:pt idx="33">
                  <c:v>48.707999999999998</c:v>
                </c:pt>
                <c:pt idx="34">
                  <c:v>59.218699999999998</c:v>
                </c:pt>
                <c:pt idx="35">
                  <c:v>51.671999999999997</c:v>
                </c:pt>
                <c:pt idx="36">
                  <c:v>56.999499999999998</c:v>
                </c:pt>
                <c:pt idx="37">
                  <c:v>52.286900000000003</c:v>
                </c:pt>
                <c:pt idx="38">
                  <c:v>54.7104</c:v>
                </c:pt>
                <c:pt idx="39">
                  <c:v>54.518900000000002</c:v>
                </c:pt>
                <c:pt idx="40">
                  <c:v>55.353999999999999</c:v>
                </c:pt>
                <c:pt idx="41">
                  <c:v>58.6036</c:v>
                </c:pt>
                <c:pt idx="42">
                  <c:v>57.767800000000001</c:v>
                </c:pt>
                <c:pt idx="43">
                  <c:v>51.73</c:v>
                </c:pt>
                <c:pt idx="44">
                  <c:v>59.569899999999997</c:v>
                </c:pt>
                <c:pt idx="45">
                  <c:v>52.6036</c:v>
                </c:pt>
                <c:pt idx="46">
                  <c:v>59.561799999999998</c:v>
                </c:pt>
                <c:pt idx="47">
                  <c:v>55.755800000000001</c:v>
                </c:pt>
                <c:pt idx="48">
                  <c:v>68.970699999999994</c:v>
                </c:pt>
                <c:pt idx="49">
                  <c:v>56.296500000000002</c:v>
                </c:pt>
                <c:pt idx="50">
                  <c:v>58.521500000000003</c:v>
                </c:pt>
                <c:pt idx="51">
                  <c:v>55.008400000000002</c:v>
                </c:pt>
                <c:pt idx="52">
                  <c:v>54.991399999999999</c:v>
                </c:pt>
                <c:pt idx="53">
                  <c:v>51.7682</c:v>
                </c:pt>
                <c:pt idx="54">
                  <c:v>52.960999999999999</c:v>
                </c:pt>
                <c:pt idx="55">
                  <c:v>53.195900000000002</c:v>
                </c:pt>
                <c:pt idx="56">
                  <c:v>57.819400000000002</c:v>
                </c:pt>
                <c:pt idx="57">
                  <c:v>47.235700000000001</c:v>
                </c:pt>
                <c:pt idx="58">
                  <c:v>54.6265</c:v>
                </c:pt>
                <c:pt idx="59">
                  <c:v>53.241500000000002</c:v>
                </c:pt>
                <c:pt idx="60">
                  <c:v>51.53</c:v>
                </c:pt>
                <c:pt idx="61">
                  <c:v>56.838900000000002</c:v>
                </c:pt>
                <c:pt idx="62">
                  <c:v>54.782800000000002</c:v>
                </c:pt>
                <c:pt idx="63">
                  <c:v>52.721499999999999</c:v>
                </c:pt>
                <c:pt idx="64">
                  <c:v>56.863599999999998</c:v>
                </c:pt>
                <c:pt idx="65">
                  <c:v>56.496499999999997</c:v>
                </c:pt>
                <c:pt idx="66">
                  <c:v>54.204000000000001</c:v>
                </c:pt>
                <c:pt idx="67">
                  <c:v>54.3142</c:v>
                </c:pt>
                <c:pt idx="68">
                  <c:v>55.164400000000001</c:v>
                </c:pt>
                <c:pt idx="69">
                  <c:v>57.626100000000001</c:v>
                </c:pt>
                <c:pt idx="70">
                  <c:v>48.79</c:v>
                </c:pt>
                <c:pt idx="71">
                  <c:v>67.666700000000006</c:v>
                </c:pt>
                <c:pt idx="72">
                  <c:v>64.733699999999999</c:v>
                </c:pt>
                <c:pt idx="73">
                  <c:v>66.533299999999997</c:v>
                </c:pt>
                <c:pt idx="74">
                  <c:v>55.755800000000001</c:v>
                </c:pt>
                <c:pt idx="75">
                  <c:v>59.9343</c:v>
                </c:pt>
                <c:pt idx="76">
                  <c:v>44.616700000000002</c:v>
                </c:pt>
                <c:pt idx="77">
                  <c:v>45</c:v>
                </c:pt>
              </c:numCache>
            </c:numRef>
          </c:xVal>
          <c:yVal>
            <c:numRef>
              <c:f>'Корреляционный анализ'!$B$4:$B$81</c:f>
              <c:numCache>
                <c:formatCode>General</c:formatCode>
                <c:ptCount val="78"/>
                <c:pt idx="0">
                  <c:v>28.9</c:v>
                </c:pt>
                <c:pt idx="1">
                  <c:v>22.3</c:v>
                </c:pt>
                <c:pt idx="2">
                  <c:v>30.6</c:v>
                </c:pt>
                <c:pt idx="3">
                  <c:v>15.9</c:v>
                </c:pt>
                <c:pt idx="4">
                  <c:v>29.7</c:v>
                </c:pt>
                <c:pt idx="5">
                  <c:v>26.9</c:v>
                </c:pt>
                <c:pt idx="6">
                  <c:v>27.7</c:v>
                </c:pt>
                <c:pt idx="7">
                  <c:v>31.6</c:v>
                </c:pt>
                <c:pt idx="8">
                  <c:v>28.2</c:v>
                </c:pt>
                <c:pt idx="9">
                  <c:v>19.2</c:v>
                </c:pt>
                <c:pt idx="10">
                  <c:v>21.1</c:v>
                </c:pt>
                <c:pt idx="11">
                  <c:v>23.7</c:v>
                </c:pt>
                <c:pt idx="12">
                  <c:v>22.1</c:v>
                </c:pt>
                <c:pt idx="13">
                  <c:v>26.9</c:v>
                </c:pt>
                <c:pt idx="14">
                  <c:v>24.7</c:v>
                </c:pt>
                <c:pt idx="15">
                  <c:v>23.9</c:v>
                </c:pt>
                <c:pt idx="16">
                  <c:v>27.4</c:v>
                </c:pt>
                <c:pt idx="17">
                  <c:v>19.5</c:v>
                </c:pt>
                <c:pt idx="18">
                  <c:v>31.5</c:v>
                </c:pt>
                <c:pt idx="19">
                  <c:v>21.9</c:v>
                </c:pt>
                <c:pt idx="20">
                  <c:v>22.8</c:v>
                </c:pt>
                <c:pt idx="21">
                  <c:v>20.5</c:v>
                </c:pt>
                <c:pt idx="22">
                  <c:v>21.4</c:v>
                </c:pt>
                <c:pt idx="23">
                  <c:v>29.2</c:v>
                </c:pt>
                <c:pt idx="24">
                  <c:v>19.2</c:v>
                </c:pt>
                <c:pt idx="25">
                  <c:v>25.5</c:v>
                </c:pt>
                <c:pt idx="26">
                  <c:v>19</c:v>
                </c:pt>
                <c:pt idx="27">
                  <c:v>21.7</c:v>
                </c:pt>
                <c:pt idx="28">
                  <c:v>17.5</c:v>
                </c:pt>
                <c:pt idx="29">
                  <c:v>33.9</c:v>
                </c:pt>
                <c:pt idx="30">
                  <c:v>27.7</c:v>
                </c:pt>
                <c:pt idx="31">
                  <c:v>25.4</c:v>
                </c:pt>
                <c:pt idx="32">
                  <c:v>22.3</c:v>
                </c:pt>
                <c:pt idx="33">
                  <c:v>29.8</c:v>
                </c:pt>
                <c:pt idx="34">
                  <c:v>20.2</c:v>
                </c:pt>
                <c:pt idx="35">
                  <c:v>25.9</c:v>
                </c:pt>
                <c:pt idx="36">
                  <c:v>23.7</c:v>
                </c:pt>
                <c:pt idx="37">
                  <c:v>21.3</c:v>
                </c:pt>
                <c:pt idx="38">
                  <c:v>26.4</c:v>
                </c:pt>
                <c:pt idx="39">
                  <c:v>22.6</c:v>
                </c:pt>
                <c:pt idx="40">
                  <c:v>20.9</c:v>
                </c:pt>
                <c:pt idx="41">
                  <c:v>21.2</c:v>
                </c:pt>
                <c:pt idx="42">
                  <c:v>24.1</c:v>
                </c:pt>
                <c:pt idx="43">
                  <c:v>26.7</c:v>
                </c:pt>
                <c:pt idx="44">
                  <c:v>24.4</c:v>
                </c:pt>
                <c:pt idx="45">
                  <c:v>24.5</c:v>
                </c:pt>
                <c:pt idx="46">
                  <c:v>17</c:v>
                </c:pt>
                <c:pt idx="47">
                  <c:v>22.3</c:v>
                </c:pt>
                <c:pt idx="48">
                  <c:v>19.7</c:v>
                </c:pt>
                <c:pt idx="49">
                  <c:v>23.3</c:v>
                </c:pt>
                <c:pt idx="50">
                  <c:v>24.2</c:v>
                </c:pt>
                <c:pt idx="51">
                  <c:v>22.6</c:v>
                </c:pt>
                <c:pt idx="52">
                  <c:v>30.6</c:v>
                </c:pt>
                <c:pt idx="53">
                  <c:v>32.4</c:v>
                </c:pt>
                <c:pt idx="54">
                  <c:v>25.8</c:v>
                </c:pt>
                <c:pt idx="55">
                  <c:v>22.6</c:v>
                </c:pt>
                <c:pt idx="56">
                  <c:v>25.9</c:v>
                </c:pt>
                <c:pt idx="57">
                  <c:v>29.3</c:v>
                </c:pt>
                <c:pt idx="58">
                  <c:v>20.9</c:v>
                </c:pt>
                <c:pt idx="59">
                  <c:v>25.4</c:v>
                </c:pt>
                <c:pt idx="60">
                  <c:v>25.2</c:v>
                </c:pt>
                <c:pt idx="61">
                  <c:v>30.5</c:v>
                </c:pt>
                <c:pt idx="62">
                  <c:v>24.9</c:v>
                </c:pt>
                <c:pt idx="63">
                  <c:v>22.6</c:v>
                </c:pt>
                <c:pt idx="64">
                  <c:v>21</c:v>
                </c:pt>
                <c:pt idx="65">
                  <c:v>19.899999999999999</c:v>
                </c:pt>
                <c:pt idx="66">
                  <c:v>22.5</c:v>
                </c:pt>
                <c:pt idx="67">
                  <c:v>22.6</c:v>
                </c:pt>
                <c:pt idx="68">
                  <c:v>30.7</c:v>
                </c:pt>
                <c:pt idx="69">
                  <c:v>22.3</c:v>
                </c:pt>
                <c:pt idx="70">
                  <c:v>16.8</c:v>
                </c:pt>
                <c:pt idx="71">
                  <c:v>9.6999999999999993</c:v>
                </c:pt>
                <c:pt idx="72">
                  <c:v>7.4</c:v>
                </c:pt>
                <c:pt idx="73">
                  <c:v>21</c:v>
                </c:pt>
                <c:pt idx="74">
                  <c:v>22.3</c:v>
                </c:pt>
                <c:pt idx="75">
                  <c:v>23.9</c:v>
                </c:pt>
                <c:pt idx="76">
                  <c:v>28</c:v>
                </c:pt>
                <c:pt idx="7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C-44EB-BA47-9F593DCB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10728"/>
        <c:axId val="400908104"/>
      </c:scatterChart>
      <c:valAx>
        <c:axId val="400910728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Широта (°</a:t>
                </a:r>
                <a:r>
                  <a:rPr lang="en-US"/>
                  <a:t>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0908104"/>
        <c:crosses val="autoZero"/>
        <c:crossBetween val="midCat"/>
      </c:valAx>
      <c:valAx>
        <c:axId val="400908104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Температура (°</a:t>
                </a:r>
                <a:r>
                  <a:rPr lang="en-US"/>
                  <a:t>C)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0910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Рис.</a:t>
            </a:r>
            <a:r>
              <a:rPr lang="ru-RU" sz="1200" b="1" baseline="0"/>
              <a:t> 3. Графическое представление зависимости температуры от широты по субъектам РФ  </a:t>
            </a:r>
            <a:endParaRPr lang="ru-RU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'Регрессионный анализ'!$C$4:$C$81</c:f>
              <c:numCache>
                <c:formatCode>General</c:formatCode>
                <c:ptCount val="78"/>
                <c:pt idx="0">
                  <c:v>44.609400000000001</c:v>
                </c:pt>
                <c:pt idx="1">
                  <c:v>51.958399999999997</c:v>
                </c:pt>
                <c:pt idx="2">
                  <c:v>54.738799999999998</c:v>
                </c:pt>
                <c:pt idx="3">
                  <c:v>51.8339</c:v>
                </c:pt>
                <c:pt idx="4">
                  <c:v>42.984900000000003</c:v>
                </c:pt>
                <c:pt idx="5">
                  <c:v>43.157800000000002</c:v>
                </c:pt>
                <c:pt idx="6">
                  <c:v>43.484400000000001</c:v>
                </c:pt>
                <c:pt idx="7">
                  <c:v>46.308300000000003</c:v>
                </c:pt>
                <c:pt idx="8">
                  <c:v>44.226199999999999</c:v>
                </c:pt>
                <c:pt idx="9">
                  <c:v>61.782899999999998</c:v>
                </c:pt>
                <c:pt idx="10">
                  <c:v>61.666699999999999</c:v>
                </c:pt>
                <c:pt idx="11">
                  <c:v>56.638599999999997</c:v>
                </c:pt>
                <c:pt idx="12">
                  <c:v>54.180799999999998</c:v>
                </c:pt>
                <c:pt idx="13">
                  <c:v>43.042000000000002</c:v>
                </c:pt>
                <c:pt idx="14">
                  <c:v>55.788699999999999</c:v>
                </c:pt>
                <c:pt idx="15">
                  <c:v>51.719099999999997</c:v>
                </c:pt>
                <c:pt idx="16">
                  <c:v>56.852600000000002</c:v>
                </c:pt>
                <c:pt idx="17">
                  <c:v>53.720599999999997</c:v>
                </c:pt>
                <c:pt idx="18">
                  <c:v>43.317799999999998</c:v>
                </c:pt>
                <c:pt idx="19">
                  <c:v>56.119399999999999</c:v>
                </c:pt>
                <c:pt idx="20">
                  <c:v>53.347799999999999</c:v>
                </c:pt>
                <c:pt idx="21">
                  <c:v>52.033299999999997</c:v>
                </c:pt>
                <c:pt idx="22">
                  <c:v>53.0167</c:v>
                </c:pt>
                <c:pt idx="23">
                  <c:v>45.035499999999999</c:v>
                </c:pt>
                <c:pt idx="24">
                  <c:v>56.008000000000003</c:v>
                </c:pt>
                <c:pt idx="25">
                  <c:v>45.0428</c:v>
                </c:pt>
                <c:pt idx="26">
                  <c:v>48.480200000000004</c:v>
                </c:pt>
                <c:pt idx="27">
                  <c:v>50.290599999999998</c:v>
                </c:pt>
                <c:pt idx="28">
                  <c:v>64.539299999999997</c:v>
                </c:pt>
                <c:pt idx="29">
                  <c:v>46.3476</c:v>
                </c:pt>
                <c:pt idx="30">
                  <c:v>50.597799999999999</c:v>
                </c:pt>
                <c:pt idx="31">
                  <c:v>53.255099999999999</c:v>
                </c:pt>
                <c:pt idx="32">
                  <c:v>56.129100000000001</c:v>
                </c:pt>
                <c:pt idx="33">
                  <c:v>48.707999999999998</c:v>
                </c:pt>
                <c:pt idx="34">
                  <c:v>59.218699999999998</c:v>
                </c:pt>
                <c:pt idx="35">
                  <c:v>51.671999999999997</c:v>
                </c:pt>
                <c:pt idx="36">
                  <c:v>56.999499999999998</c:v>
                </c:pt>
                <c:pt idx="37">
                  <c:v>52.286900000000003</c:v>
                </c:pt>
                <c:pt idx="38">
                  <c:v>54.7104</c:v>
                </c:pt>
                <c:pt idx="39">
                  <c:v>54.518900000000002</c:v>
                </c:pt>
                <c:pt idx="40">
                  <c:v>55.353999999999999</c:v>
                </c:pt>
                <c:pt idx="41">
                  <c:v>58.6036</c:v>
                </c:pt>
                <c:pt idx="42">
                  <c:v>57.767800000000001</c:v>
                </c:pt>
                <c:pt idx="43">
                  <c:v>51.73</c:v>
                </c:pt>
                <c:pt idx="44">
                  <c:v>59.569899999999997</c:v>
                </c:pt>
                <c:pt idx="45">
                  <c:v>52.6036</c:v>
                </c:pt>
                <c:pt idx="46">
                  <c:v>59.561799999999998</c:v>
                </c:pt>
                <c:pt idx="47">
                  <c:v>55.755800000000001</c:v>
                </c:pt>
                <c:pt idx="48">
                  <c:v>68.970699999999994</c:v>
                </c:pt>
                <c:pt idx="49">
                  <c:v>56.296500000000002</c:v>
                </c:pt>
                <c:pt idx="50">
                  <c:v>58.521500000000003</c:v>
                </c:pt>
                <c:pt idx="51">
                  <c:v>55.008400000000002</c:v>
                </c:pt>
                <c:pt idx="52">
                  <c:v>54.991399999999999</c:v>
                </c:pt>
                <c:pt idx="53">
                  <c:v>51.7682</c:v>
                </c:pt>
                <c:pt idx="54">
                  <c:v>52.960999999999999</c:v>
                </c:pt>
                <c:pt idx="55">
                  <c:v>53.195900000000002</c:v>
                </c:pt>
                <c:pt idx="56">
                  <c:v>57.819400000000002</c:v>
                </c:pt>
                <c:pt idx="57">
                  <c:v>47.235700000000001</c:v>
                </c:pt>
                <c:pt idx="58">
                  <c:v>54.6265</c:v>
                </c:pt>
                <c:pt idx="59">
                  <c:v>53.241500000000002</c:v>
                </c:pt>
                <c:pt idx="60">
                  <c:v>51.53</c:v>
                </c:pt>
                <c:pt idx="61">
                  <c:v>56.838900000000002</c:v>
                </c:pt>
                <c:pt idx="62">
                  <c:v>54.782800000000002</c:v>
                </c:pt>
                <c:pt idx="63">
                  <c:v>52.721499999999999</c:v>
                </c:pt>
                <c:pt idx="64">
                  <c:v>56.863599999999998</c:v>
                </c:pt>
                <c:pt idx="65">
                  <c:v>56.496499999999997</c:v>
                </c:pt>
                <c:pt idx="66">
                  <c:v>54.204000000000001</c:v>
                </c:pt>
                <c:pt idx="67">
                  <c:v>54.3142</c:v>
                </c:pt>
                <c:pt idx="68">
                  <c:v>55.164400000000001</c:v>
                </c:pt>
                <c:pt idx="69">
                  <c:v>57.626100000000001</c:v>
                </c:pt>
                <c:pt idx="70">
                  <c:v>48.79</c:v>
                </c:pt>
                <c:pt idx="71">
                  <c:v>67.666700000000006</c:v>
                </c:pt>
                <c:pt idx="72">
                  <c:v>64.733699999999999</c:v>
                </c:pt>
                <c:pt idx="73">
                  <c:v>66.533299999999997</c:v>
                </c:pt>
                <c:pt idx="74">
                  <c:v>55.755800000000001</c:v>
                </c:pt>
                <c:pt idx="75">
                  <c:v>59.9343</c:v>
                </c:pt>
                <c:pt idx="76">
                  <c:v>44.616700000000002</c:v>
                </c:pt>
                <c:pt idx="77">
                  <c:v>45</c:v>
                </c:pt>
              </c:numCache>
            </c:numRef>
          </c:xVal>
          <c:yVal>
            <c:numRef>
              <c:f>'Регрессионный анализ'!$B$4:$B$81</c:f>
              <c:numCache>
                <c:formatCode>General</c:formatCode>
                <c:ptCount val="78"/>
                <c:pt idx="0">
                  <c:v>28.9</c:v>
                </c:pt>
                <c:pt idx="1">
                  <c:v>22.3</c:v>
                </c:pt>
                <c:pt idx="2">
                  <c:v>30.6</c:v>
                </c:pt>
                <c:pt idx="3">
                  <c:v>15.9</c:v>
                </c:pt>
                <c:pt idx="4">
                  <c:v>29.7</c:v>
                </c:pt>
                <c:pt idx="5">
                  <c:v>26.9</c:v>
                </c:pt>
                <c:pt idx="6">
                  <c:v>27.7</c:v>
                </c:pt>
                <c:pt idx="7">
                  <c:v>31.6</c:v>
                </c:pt>
                <c:pt idx="8">
                  <c:v>28.2</c:v>
                </c:pt>
                <c:pt idx="9">
                  <c:v>19.2</c:v>
                </c:pt>
                <c:pt idx="10">
                  <c:v>21.1</c:v>
                </c:pt>
                <c:pt idx="11">
                  <c:v>23.7</c:v>
                </c:pt>
                <c:pt idx="12">
                  <c:v>22.1</c:v>
                </c:pt>
                <c:pt idx="13">
                  <c:v>26.9</c:v>
                </c:pt>
                <c:pt idx="14">
                  <c:v>24.7</c:v>
                </c:pt>
                <c:pt idx="15">
                  <c:v>23.9</c:v>
                </c:pt>
                <c:pt idx="16">
                  <c:v>27.4</c:v>
                </c:pt>
                <c:pt idx="17">
                  <c:v>19.5</c:v>
                </c:pt>
                <c:pt idx="18">
                  <c:v>31.5</c:v>
                </c:pt>
                <c:pt idx="19">
                  <c:v>21.9</c:v>
                </c:pt>
                <c:pt idx="20">
                  <c:v>22.8</c:v>
                </c:pt>
                <c:pt idx="21">
                  <c:v>20.5</c:v>
                </c:pt>
                <c:pt idx="22">
                  <c:v>21.4</c:v>
                </c:pt>
                <c:pt idx="23">
                  <c:v>29.2</c:v>
                </c:pt>
                <c:pt idx="24">
                  <c:v>19.2</c:v>
                </c:pt>
                <c:pt idx="25">
                  <c:v>25.5</c:v>
                </c:pt>
                <c:pt idx="26">
                  <c:v>19</c:v>
                </c:pt>
                <c:pt idx="27">
                  <c:v>21.7</c:v>
                </c:pt>
                <c:pt idx="28">
                  <c:v>17.5</c:v>
                </c:pt>
                <c:pt idx="29">
                  <c:v>33.9</c:v>
                </c:pt>
                <c:pt idx="30">
                  <c:v>27.7</c:v>
                </c:pt>
                <c:pt idx="31">
                  <c:v>25.4</c:v>
                </c:pt>
                <c:pt idx="32">
                  <c:v>22.3</c:v>
                </c:pt>
                <c:pt idx="33">
                  <c:v>29.8</c:v>
                </c:pt>
                <c:pt idx="34">
                  <c:v>20.2</c:v>
                </c:pt>
                <c:pt idx="35">
                  <c:v>25.9</c:v>
                </c:pt>
                <c:pt idx="36">
                  <c:v>23.7</c:v>
                </c:pt>
                <c:pt idx="37">
                  <c:v>21.3</c:v>
                </c:pt>
                <c:pt idx="38">
                  <c:v>26.4</c:v>
                </c:pt>
                <c:pt idx="39">
                  <c:v>22.6</c:v>
                </c:pt>
                <c:pt idx="40">
                  <c:v>20.9</c:v>
                </c:pt>
                <c:pt idx="41">
                  <c:v>21.2</c:v>
                </c:pt>
                <c:pt idx="42">
                  <c:v>24.1</c:v>
                </c:pt>
                <c:pt idx="43">
                  <c:v>26.7</c:v>
                </c:pt>
                <c:pt idx="44">
                  <c:v>24.4</c:v>
                </c:pt>
                <c:pt idx="45">
                  <c:v>24.5</c:v>
                </c:pt>
                <c:pt idx="46">
                  <c:v>17</c:v>
                </c:pt>
                <c:pt idx="47">
                  <c:v>22.3</c:v>
                </c:pt>
                <c:pt idx="48">
                  <c:v>19.7</c:v>
                </c:pt>
                <c:pt idx="49">
                  <c:v>23.3</c:v>
                </c:pt>
                <c:pt idx="50">
                  <c:v>24.2</c:v>
                </c:pt>
                <c:pt idx="51">
                  <c:v>22.6</c:v>
                </c:pt>
                <c:pt idx="52">
                  <c:v>30.6</c:v>
                </c:pt>
                <c:pt idx="53">
                  <c:v>32.4</c:v>
                </c:pt>
                <c:pt idx="54">
                  <c:v>25.8</c:v>
                </c:pt>
                <c:pt idx="55">
                  <c:v>22.6</c:v>
                </c:pt>
                <c:pt idx="56">
                  <c:v>25.9</c:v>
                </c:pt>
                <c:pt idx="57">
                  <c:v>29.3</c:v>
                </c:pt>
                <c:pt idx="58">
                  <c:v>20.9</c:v>
                </c:pt>
                <c:pt idx="59">
                  <c:v>25.4</c:v>
                </c:pt>
                <c:pt idx="60">
                  <c:v>25.2</c:v>
                </c:pt>
                <c:pt idx="61">
                  <c:v>30.5</c:v>
                </c:pt>
                <c:pt idx="62">
                  <c:v>24.9</c:v>
                </c:pt>
                <c:pt idx="63">
                  <c:v>22.6</c:v>
                </c:pt>
                <c:pt idx="64">
                  <c:v>21</c:v>
                </c:pt>
                <c:pt idx="65">
                  <c:v>19.899999999999999</c:v>
                </c:pt>
                <c:pt idx="66">
                  <c:v>22.5</c:v>
                </c:pt>
                <c:pt idx="67">
                  <c:v>22.6</c:v>
                </c:pt>
                <c:pt idx="68">
                  <c:v>30.7</c:v>
                </c:pt>
                <c:pt idx="69">
                  <c:v>22.3</c:v>
                </c:pt>
                <c:pt idx="70">
                  <c:v>16.8</c:v>
                </c:pt>
                <c:pt idx="71">
                  <c:v>9.6999999999999993</c:v>
                </c:pt>
                <c:pt idx="72">
                  <c:v>7.4</c:v>
                </c:pt>
                <c:pt idx="73">
                  <c:v>21</c:v>
                </c:pt>
                <c:pt idx="74">
                  <c:v>22.3</c:v>
                </c:pt>
                <c:pt idx="75">
                  <c:v>23.9</c:v>
                </c:pt>
                <c:pt idx="76">
                  <c:v>28</c:v>
                </c:pt>
                <c:pt idx="7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A1-4624-8149-CC11BEFB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69904"/>
        <c:axId val="386571544"/>
      </c:scatterChart>
      <c:valAx>
        <c:axId val="386569904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Широта (°</a:t>
                </a:r>
                <a:r>
                  <a:rPr lang="en-US"/>
                  <a:t>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571544"/>
        <c:crosses val="autoZero"/>
        <c:crossBetween val="midCat"/>
      </c:valAx>
      <c:valAx>
        <c:axId val="386571544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Температура (°</a:t>
                </a:r>
                <a:r>
                  <a:rPr lang="en-US"/>
                  <a:t>C)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5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baseline="0">
                <a:effectLst/>
              </a:rPr>
              <a:t>Рис. 4. Графическое представление зависимости расчетной температуры от широты по субъектам РФ  </a:t>
            </a:r>
            <a:endParaRPr lang="ru-RU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'Регрессионный анализ'!$C$4:$C$81</c:f>
              <c:numCache>
                <c:formatCode>General</c:formatCode>
                <c:ptCount val="78"/>
                <c:pt idx="0">
                  <c:v>44.609400000000001</c:v>
                </c:pt>
                <c:pt idx="1">
                  <c:v>51.958399999999997</c:v>
                </c:pt>
                <c:pt idx="2">
                  <c:v>54.738799999999998</c:v>
                </c:pt>
                <c:pt idx="3">
                  <c:v>51.8339</c:v>
                </c:pt>
                <c:pt idx="4">
                  <c:v>42.984900000000003</c:v>
                </c:pt>
                <c:pt idx="5">
                  <c:v>43.157800000000002</c:v>
                </c:pt>
                <c:pt idx="6">
                  <c:v>43.484400000000001</c:v>
                </c:pt>
                <c:pt idx="7">
                  <c:v>46.308300000000003</c:v>
                </c:pt>
                <c:pt idx="8">
                  <c:v>44.226199999999999</c:v>
                </c:pt>
                <c:pt idx="9">
                  <c:v>61.782899999999998</c:v>
                </c:pt>
                <c:pt idx="10">
                  <c:v>61.666699999999999</c:v>
                </c:pt>
                <c:pt idx="11">
                  <c:v>56.638599999999997</c:v>
                </c:pt>
                <c:pt idx="12">
                  <c:v>54.180799999999998</c:v>
                </c:pt>
                <c:pt idx="13">
                  <c:v>43.042000000000002</c:v>
                </c:pt>
                <c:pt idx="14">
                  <c:v>55.788699999999999</c:v>
                </c:pt>
                <c:pt idx="15">
                  <c:v>51.719099999999997</c:v>
                </c:pt>
                <c:pt idx="16">
                  <c:v>56.852600000000002</c:v>
                </c:pt>
                <c:pt idx="17">
                  <c:v>53.720599999999997</c:v>
                </c:pt>
                <c:pt idx="18">
                  <c:v>43.317799999999998</c:v>
                </c:pt>
                <c:pt idx="19">
                  <c:v>56.119399999999999</c:v>
                </c:pt>
                <c:pt idx="20">
                  <c:v>53.347799999999999</c:v>
                </c:pt>
                <c:pt idx="21">
                  <c:v>52.033299999999997</c:v>
                </c:pt>
                <c:pt idx="22">
                  <c:v>53.0167</c:v>
                </c:pt>
                <c:pt idx="23">
                  <c:v>45.035499999999999</c:v>
                </c:pt>
                <c:pt idx="24">
                  <c:v>56.008000000000003</c:v>
                </c:pt>
                <c:pt idx="25">
                  <c:v>45.0428</c:v>
                </c:pt>
                <c:pt idx="26">
                  <c:v>48.480200000000004</c:v>
                </c:pt>
                <c:pt idx="27">
                  <c:v>50.290599999999998</c:v>
                </c:pt>
                <c:pt idx="28">
                  <c:v>64.539299999999997</c:v>
                </c:pt>
                <c:pt idx="29">
                  <c:v>46.3476</c:v>
                </c:pt>
                <c:pt idx="30">
                  <c:v>50.597799999999999</c:v>
                </c:pt>
                <c:pt idx="31">
                  <c:v>53.255099999999999</c:v>
                </c:pt>
                <c:pt idx="32">
                  <c:v>56.129100000000001</c:v>
                </c:pt>
                <c:pt idx="33">
                  <c:v>48.707999999999998</c:v>
                </c:pt>
                <c:pt idx="34">
                  <c:v>59.218699999999998</c:v>
                </c:pt>
                <c:pt idx="35">
                  <c:v>51.671999999999997</c:v>
                </c:pt>
                <c:pt idx="36">
                  <c:v>56.999499999999998</c:v>
                </c:pt>
                <c:pt idx="37">
                  <c:v>52.286900000000003</c:v>
                </c:pt>
                <c:pt idx="38">
                  <c:v>54.7104</c:v>
                </c:pt>
                <c:pt idx="39">
                  <c:v>54.518900000000002</c:v>
                </c:pt>
                <c:pt idx="40">
                  <c:v>55.353999999999999</c:v>
                </c:pt>
                <c:pt idx="41">
                  <c:v>58.6036</c:v>
                </c:pt>
                <c:pt idx="42">
                  <c:v>57.767800000000001</c:v>
                </c:pt>
                <c:pt idx="43">
                  <c:v>51.73</c:v>
                </c:pt>
                <c:pt idx="44">
                  <c:v>59.569899999999997</c:v>
                </c:pt>
                <c:pt idx="45">
                  <c:v>52.6036</c:v>
                </c:pt>
                <c:pt idx="46">
                  <c:v>59.561799999999998</c:v>
                </c:pt>
                <c:pt idx="47">
                  <c:v>55.755800000000001</c:v>
                </c:pt>
                <c:pt idx="48">
                  <c:v>68.970699999999994</c:v>
                </c:pt>
                <c:pt idx="49">
                  <c:v>56.296500000000002</c:v>
                </c:pt>
                <c:pt idx="50">
                  <c:v>58.521500000000003</c:v>
                </c:pt>
                <c:pt idx="51">
                  <c:v>55.008400000000002</c:v>
                </c:pt>
                <c:pt idx="52">
                  <c:v>54.991399999999999</c:v>
                </c:pt>
                <c:pt idx="53">
                  <c:v>51.7682</c:v>
                </c:pt>
                <c:pt idx="54">
                  <c:v>52.960999999999999</c:v>
                </c:pt>
                <c:pt idx="55">
                  <c:v>53.195900000000002</c:v>
                </c:pt>
                <c:pt idx="56">
                  <c:v>57.819400000000002</c:v>
                </c:pt>
                <c:pt idx="57">
                  <c:v>47.235700000000001</c:v>
                </c:pt>
                <c:pt idx="58">
                  <c:v>54.6265</c:v>
                </c:pt>
                <c:pt idx="59">
                  <c:v>53.241500000000002</c:v>
                </c:pt>
                <c:pt idx="60">
                  <c:v>51.53</c:v>
                </c:pt>
                <c:pt idx="61">
                  <c:v>56.838900000000002</c:v>
                </c:pt>
                <c:pt idx="62">
                  <c:v>54.782800000000002</c:v>
                </c:pt>
                <c:pt idx="63">
                  <c:v>52.721499999999999</c:v>
                </c:pt>
                <c:pt idx="64">
                  <c:v>56.863599999999998</c:v>
                </c:pt>
                <c:pt idx="65">
                  <c:v>56.496499999999997</c:v>
                </c:pt>
                <c:pt idx="66">
                  <c:v>54.204000000000001</c:v>
                </c:pt>
                <c:pt idx="67">
                  <c:v>54.3142</c:v>
                </c:pt>
                <c:pt idx="68">
                  <c:v>55.164400000000001</c:v>
                </c:pt>
                <c:pt idx="69">
                  <c:v>57.626100000000001</c:v>
                </c:pt>
                <c:pt idx="70">
                  <c:v>48.79</c:v>
                </c:pt>
                <c:pt idx="71">
                  <c:v>67.666700000000006</c:v>
                </c:pt>
                <c:pt idx="72">
                  <c:v>64.733699999999999</c:v>
                </c:pt>
                <c:pt idx="73">
                  <c:v>66.533299999999997</c:v>
                </c:pt>
                <c:pt idx="74">
                  <c:v>55.755800000000001</c:v>
                </c:pt>
                <c:pt idx="75">
                  <c:v>59.9343</c:v>
                </c:pt>
                <c:pt idx="76">
                  <c:v>44.616700000000002</c:v>
                </c:pt>
                <c:pt idx="77">
                  <c:v>45</c:v>
                </c:pt>
              </c:numCache>
            </c:numRef>
          </c:xVal>
          <c:yVal>
            <c:numRef>
              <c:f>'Регрессионный анализ'!$K$4:$K$81</c:f>
              <c:numCache>
                <c:formatCode>General</c:formatCode>
                <c:ptCount val="78"/>
                <c:pt idx="0">
                  <c:v>28.3</c:v>
                </c:pt>
                <c:pt idx="1">
                  <c:v>24.7</c:v>
                </c:pt>
                <c:pt idx="2">
                  <c:v>23.4</c:v>
                </c:pt>
                <c:pt idx="3">
                  <c:v>24.8</c:v>
                </c:pt>
                <c:pt idx="4">
                  <c:v>29.1</c:v>
                </c:pt>
                <c:pt idx="5">
                  <c:v>29.1</c:v>
                </c:pt>
                <c:pt idx="6">
                  <c:v>28.9</c:v>
                </c:pt>
                <c:pt idx="7">
                  <c:v>27.5</c:v>
                </c:pt>
                <c:pt idx="8">
                  <c:v>28.5</c:v>
                </c:pt>
                <c:pt idx="9">
                  <c:v>19.899999999999999</c:v>
                </c:pt>
                <c:pt idx="10">
                  <c:v>20</c:v>
                </c:pt>
                <c:pt idx="11">
                  <c:v>22.4</c:v>
                </c:pt>
                <c:pt idx="12">
                  <c:v>23.7</c:v>
                </c:pt>
                <c:pt idx="13">
                  <c:v>29.1</c:v>
                </c:pt>
                <c:pt idx="14">
                  <c:v>22.9</c:v>
                </c:pt>
                <c:pt idx="15">
                  <c:v>24.9</c:v>
                </c:pt>
                <c:pt idx="16">
                  <c:v>22.3</c:v>
                </c:pt>
                <c:pt idx="17">
                  <c:v>23.9</c:v>
                </c:pt>
                <c:pt idx="18">
                  <c:v>29</c:v>
                </c:pt>
                <c:pt idx="19">
                  <c:v>22.7</c:v>
                </c:pt>
                <c:pt idx="20">
                  <c:v>24.1</c:v>
                </c:pt>
                <c:pt idx="21">
                  <c:v>24.7</c:v>
                </c:pt>
                <c:pt idx="22">
                  <c:v>24.2</c:v>
                </c:pt>
                <c:pt idx="23">
                  <c:v>28.1</c:v>
                </c:pt>
                <c:pt idx="24">
                  <c:v>22.8</c:v>
                </c:pt>
                <c:pt idx="25">
                  <c:v>28.1</c:v>
                </c:pt>
                <c:pt idx="26">
                  <c:v>26.4</c:v>
                </c:pt>
                <c:pt idx="27">
                  <c:v>25.6</c:v>
                </c:pt>
                <c:pt idx="28">
                  <c:v>18.600000000000001</c:v>
                </c:pt>
                <c:pt idx="29">
                  <c:v>27.5</c:v>
                </c:pt>
                <c:pt idx="30">
                  <c:v>25.4</c:v>
                </c:pt>
                <c:pt idx="31">
                  <c:v>24.1</c:v>
                </c:pt>
                <c:pt idx="32">
                  <c:v>22.7</c:v>
                </c:pt>
                <c:pt idx="33">
                  <c:v>26.3</c:v>
                </c:pt>
                <c:pt idx="34">
                  <c:v>21.2</c:v>
                </c:pt>
                <c:pt idx="35">
                  <c:v>24.9</c:v>
                </c:pt>
                <c:pt idx="36">
                  <c:v>22.3</c:v>
                </c:pt>
                <c:pt idx="37">
                  <c:v>24.6</c:v>
                </c:pt>
                <c:pt idx="38">
                  <c:v>23.4</c:v>
                </c:pt>
                <c:pt idx="39">
                  <c:v>23.5</c:v>
                </c:pt>
                <c:pt idx="40">
                  <c:v>23.1</c:v>
                </c:pt>
                <c:pt idx="41">
                  <c:v>21.5</c:v>
                </c:pt>
                <c:pt idx="42">
                  <c:v>21.9</c:v>
                </c:pt>
                <c:pt idx="43">
                  <c:v>24.9</c:v>
                </c:pt>
                <c:pt idx="44">
                  <c:v>21</c:v>
                </c:pt>
                <c:pt idx="45">
                  <c:v>24.4</c:v>
                </c:pt>
                <c:pt idx="46">
                  <c:v>21</c:v>
                </c:pt>
                <c:pt idx="47">
                  <c:v>22.9</c:v>
                </c:pt>
                <c:pt idx="48">
                  <c:v>16.399999999999999</c:v>
                </c:pt>
                <c:pt idx="49">
                  <c:v>22.6</c:v>
                </c:pt>
                <c:pt idx="50">
                  <c:v>21.5</c:v>
                </c:pt>
                <c:pt idx="51">
                  <c:v>23.2</c:v>
                </c:pt>
                <c:pt idx="52">
                  <c:v>23.3</c:v>
                </c:pt>
                <c:pt idx="53">
                  <c:v>24.8</c:v>
                </c:pt>
                <c:pt idx="54">
                  <c:v>24.2</c:v>
                </c:pt>
                <c:pt idx="55">
                  <c:v>24.1</c:v>
                </c:pt>
                <c:pt idx="56">
                  <c:v>21.9</c:v>
                </c:pt>
                <c:pt idx="57">
                  <c:v>27.1</c:v>
                </c:pt>
                <c:pt idx="58">
                  <c:v>23.4</c:v>
                </c:pt>
                <c:pt idx="59">
                  <c:v>24.1</c:v>
                </c:pt>
                <c:pt idx="60">
                  <c:v>25</c:v>
                </c:pt>
                <c:pt idx="61">
                  <c:v>22.3</c:v>
                </c:pt>
                <c:pt idx="62">
                  <c:v>23.4</c:v>
                </c:pt>
                <c:pt idx="63">
                  <c:v>24.4</c:v>
                </c:pt>
                <c:pt idx="64">
                  <c:v>22.3</c:v>
                </c:pt>
                <c:pt idx="65">
                  <c:v>22.5</c:v>
                </c:pt>
                <c:pt idx="66">
                  <c:v>23.6</c:v>
                </c:pt>
                <c:pt idx="67">
                  <c:v>23.6</c:v>
                </c:pt>
                <c:pt idx="68">
                  <c:v>23.2</c:v>
                </c:pt>
                <c:pt idx="69">
                  <c:v>22</c:v>
                </c:pt>
                <c:pt idx="70">
                  <c:v>26.3</c:v>
                </c:pt>
                <c:pt idx="71">
                  <c:v>17</c:v>
                </c:pt>
                <c:pt idx="72">
                  <c:v>18.5</c:v>
                </c:pt>
                <c:pt idx="73">
                  <c:v>17.600000000000001</c:v>
                </c:pt>
                <c:pt idx="74">
                  <c:v>22.9</c:v>
                </c:pt>
                <c:pt idx="75">
                  <c:v>20.8</c:v>
                </c:pt>
                <c:pt idx="76">
                  <c:v>28.3</c:v>
                </c:pt>
                <c:pt idx="77">
                  <c:v>28.2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B9-4914-9074-C62613C1D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30576"/>
        <c:axId val="486125984"/>
      </c:scatterChart>
      <c:valAx>
        <c:axId val="486130576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Широта (°</a:t>
                </a:r>
                <a:r>
                  <a:rPr lang="en-US"/>
                  <a:t>N)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125984"/>
        <c:crosses val="autoZero"/>
        <c:crossBetween val="midCat"/>
      </c:valAx>
      <c:valAx>
        <c:axId val="486125984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Температура (°</a:t>
                </a:r>
                <a:r>
                  <a:rPr lang="en-US"/>
                  <a:t>C)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13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4762</xdr:rowOff>
    </xdr:from>
    <xdr:to>
      <xdr:col>11</xdr:col>
      <xdr:colOff>600075</xdr:colOff>
      <xdr:row>17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36A07F-A3F1-4FF3-BCF7-8C5001663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14287</xdr:rowOff>
    </xdr:from>
    <xdr:to>
      <xdr:col>11</xdr:col>
      <xdr:colOff>600075</xdr:colOff>
      <xdr:row>16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8E56F5-C8FB-4275-945B-3D616B557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9</xdr:row>
      <xdr:rowOff>185737</xdr:rowOff>
    </xdr:from>
    <xdr:to>
      <xdr:col>20</xdr:col>
      <xdr:colOff>0</xdr:colOff>
      <xdr:row>27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776F9A-C35B-4430-8244-DC50F39E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600074</xdr:colOff>
      <xdr:row>27</xdr:row>
      <xdr:rowOff>185736</xdr:rowOff>
    </xdr:from>
    <xdr:to>
      <xdr:col>19</xdr:col>
      <xdr:colOff>600074</xdr:colOff>
      <xdr:row>45</xdr:row>
      <xdr:rowOff>190499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9062C3E-3376-4F13-AFB7-79B2EED46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1EF1-11FB-4182-90DA-18C75DA4CB73}">
  <dimension ref="A1:L88"/>
  <sheetViews>
    <sheetView zoomScaleNormal="100" workbookViewId="0">
      <selection activeCell="A82" sqref="A82:C82"/>
    </sheetView>
  </sheetViews>
  <sheetFormatPr defaultRowHeight="15" x14ac:dyDescent="0.25"/>
  <cols>
    <col min="1" max="1" width="36.5703125" bestFit="1" customWidth="1"/>
    <col min="2" max="2" width="19.5703125" bestFit="1" customWidth="1"/>
    <col min="3" max="3" width="14.85546875" bestFit="1" customWidth="1"/>
  </cols>
  <sheetData>
    <row r="1" spans="1:3" ht="15.75" customHeight="1" x14ac:dyDescent="0.25">
      <c r="A1" s="8" t="s">
        <v>88</v>
      </c>
      <c r="B1" s="8"/>
      <c r="C1" s="8"/>
    </row>
    <row r="2" spans="1:3" ht="15" customHeight="1" x14ac:dyDescent="0.25">
      <c r="A2" s="8"/>
      <c r="B2" s="8"/>
      <c r="C2" s="8"/>
    </row>
    <row r="3" spans="1:3" x14ac:dyDescent="0.25">
      <c r="A3" s="1" t="s">
        <v>0</v>
      </c>
      <c r="B3" s="1" t="s">
        <v>86</v>
      </c>
      <c r="C3" s="1" t="s">
        <v>87</v>
      </c>
    </row>
    <row r="4" spans="1:3" x14ac:dyDescent="0.25">
      <c r="A4" s="1" t="s">
        <v>1</v>
      </c>
      <c r="B4" s="1">
        <v>28.9</v>
      </c>
      <c r="C4" s="1">
        <v>44.609400000000001</v>
      </c>
    </row>
    <row r="5" spans="1:3" x14ac:dyDescent="0.25">
      <c r="A5" s="1" t="s">
        <v>2</v>
      </c>
      <c r="B5" s="1">
        <v>22.3</v>
      </c>
      <c r="C5" s="1">
        <v>51.958399999999997</v>
      </c>
    </row>
    <row r="6" spans="1:3" x14ac:dyDescent="0.25">
      <c r="A6" s="1" t="s">
        <v>3</v>
      </c>
      <c r="B6" s="1">
        <v>30.6</v>
      </c>
      <c r="C6" s="1">
        <v>54.738799999999998</v>
      </c>
    </row>
    <row r="7" spans="1:3" x14ac:dyDescent="0.25">
      <c r="A7" s="1" t="s">
        <v>4</v>
      </c>
      <c r="B7" s="1">
        <v>15.9</v>
      </c>
      <c r="C7" s="1">
        <v>51.8339</v>
      </c>
    </row>
    <row r="8" spans="1:3" x14ac:dyDescent="0.25">
      <c r="A8" s="1" t="s">
        <v>5</v>
      </c>
      <c r="B8" s="1">
        <v>29.7</v>
      </c>
      <c r="C8" s="1">
        <v>42.984900000000003</v>
      </c>
    </row>
    <row r="9" spans="1:3" x14ac:dyDescent="0.25">
      <c r="A9" s="1" t="s">
        <v>6</v>
      </c>
      <c r="B9" s="1">
        <v>26.9</v>
      </c>
      <c r="C9" s="1">
        <v>43.157800000000002</v>
      </c>
    </row>
    <row r="10" spans="1:3" x14ac:dyDescent="0.25">
      <c r="A10" s="1" t="s">
        <v>7</v>
      </c>
      <c r="B10" s="1">
        <v>27.7</v>
      </c>
      <c r="C10" s="1">
        <v>43.484400000000001</v>
      </c>
    </row>
    <row r="11" spans="1:3" x14ac:dyDescent="0.25">
      <c r="A11" s="1" t="s">
        <v>8</v>
      </c>
      <c r="B11" s="1">
        <v>31.6</v>
      </c>
      <c r="C11" s="1">
        <v>46.308300000000003</v>
      </c>
    </row>
    <row r="12" spans="1:3" x14ac:dyDescent="0.25">
      <c r="A12" s="1" t="s">
        <v>9</v>
      </c>
      <c r="B12" s="1">
        <v>28.2</v>
      </c>
      <c r="C12" s="1">
        <v>44.226199999999999</v>
      </c>
    </row>
    <row r="13" spans="1:3" x14ac:dyDescent="0.25">
      <c r="A13" s="1" t="s">
        <v>10</v>
      </c>
      <c r="B13" s="1">
        <v>19.2</v>
      </c>
      <c r="C13" s="1">
        <v>61.782899999999998</v>
      </c>
    </row>
    <row r="14" spans="1:3" x14ac:dyDescent="0.25">
      <c r="A14" s="1" t="s">
        <v>11</v>
      </c>
      <c r="B14" s="1">
        <v>21.1</v>
      </c>
      <c r="C14" s="1">
        <v>61.666699999999999</v>
      </c>
    </row>
    <row r="15" spans="1:3" x14ac:dyDescent="0.25">
      <c r="A15" s="1" t="s">
        <v>12</v>
      </c>
      <c r="B15" s="1">
        <v>23.7</v>
      </c>
      <c r="C15" s="1">
        <v>56.638599999999997</v>
      </c>
    </row>
    <row r="16" spans="1:3" x14ac:dyDescent="0.25">
      <c r="A16" s="1" t="s">
        <v>13</v>
      </c>
      <c r="B16" s="1">
        <v>22.1</v>
      </c>
      <c r="C16" s="1">
        <v>54.180799999999998</v>
      </c>
    </row>
    <row r="17" spans="1:12" x14ac:dyDescent="0.25">
      <c r="A17" s="2" t="s">
        <v>14</v>
      </c>
      <c r="B17" s="2">
        <v>33.299999999999997</v>
      </c>
      <c r="C17" s="2">
        <v>62.028100000000002</v>
      </c>
    </row>
    <row r="18" spans="1:12" x14ac:dyDescent="0.25">
      <c r="A18" s="1" t="s">
        <v>15</v>
      </c>
      <c r="B18" s="1">
        <v>26.9</v>
      </c>
      <c r="C18" s="1">
        <v>43.042000000000002</v>
      </c>
    </row>
    <row r="19" spans="1:12" x14ac:dyDescent="0.25">
      <c r="A19" s="1" t="s">
        <v>16</v>
      </c>
      <c r="B19" s="1">
        <v>24.7</v>
      </c>
      <c r="C19" s="1">
        <v>55.788699999999999</v>
      </c>
      <c r="E19" s="9" t="s">
        <v>89</v>
      </c>
      <c r="F19" s="10"/>
      <c r="G19" s="10"/>
      <c r="H19" s="10"/>
      <c r="I19" s="10"/>
      <c r="J19" s="10"/>
      <c r="K19" s="10"/>
      <c r="L19" s="10"/>
    </row>
    <row r="20" spans="1:12" x14ac:dyDescent="0.25">
      <c r="A20" s="1" t="s">
        <v>17</v>
      </c>
      <c r="B20" s="1">
        <v>23.9</v>
      </c>
      <c r="C20" s="1">
        <v>51.719099999999997</v>
      </c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" t="s">
        <v>18</v>
      </c>
      <c r="B21" s="1">
        <v>27.4</v>
      </c>
      <c r="C21" s="1">
        <v>56.852600000000002</v>
      </c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" t="s">
        <v>19</v>
      </c>
      <c r="B22" s="1">
        <v>19.5</v>
      </c>
      <c r="C22" s="1">
        <v>53.720599999999997</v>
      </c>
    </row>
    <row r="23" spans="1:12" x14ac:dyDescent="0.25">
      <c r="A23" s="1" t="s">
        <v>20</v>
      </c>
      <c r="B23" s="1">
        <v>31.5</v>
      </c>
      <c r="C23" s="1">
        <v>43.317799999999998</v>
      </c>
    </row>
    <row r="24" spans="1:12" x14ac:dyDescent="0.25">
      <c r="A24" s="1" t="s">
        <v>21</v>
      </c>
      <c r="B24" s="1">
        <v>21.9</v>
      </c>
      <c r="C24" s="1">
        <v>56.119399999999999</v>
      </c>
    </row>
    <row r="25" spans="1:12" x14ac:dyDescent="0.25">
      <c r="A25" s="1" t="s">
        <v>22</v>
      </c>
      <c r="B25" s="1">
        <v>22.8</v>
      </c>
      <c r="C25" s="1">
        <v>53.347799999999999</v>
      </c>
    </row>
    <row r="26" spans="1:12" x14ac:dyDescent="0.25">
      <c r="A26" s="1" t="s">
        <v>23</v>
      </c>
      <c r="B26" s="1">
        <v>20.5</v>
      </c>
      <c r="C26" s="1">
        <v>52.033299999999997</v>
      </c>
    </row>
    <row r="27" spans="1:12" x14ac:dyDescent="0.25">
      <c r="A27" s="1" t="s">
        <v>24</v>
      </c>
      <c r="B27" s="1">
        <v>21.4</v>
      </c>
      <c r="C27" s="1">
        <v>53.0167</v>
      </c>
    </row>
    <row r="28" spans="1:12" x14ac:dyDescent="0.25">
      <c r="A28" s="1" t="s">
        <v>25</v>
      </c>
      <c r="B28" s="1">
        <v>29.2</v>
      </c>
      <c r="C28" s="1">
        <v>45.035499999999999</v>
      </c>
    </row>
    <row r="29" spans="1:12" x14ac:dyDescent="0.25">
      <c r="A29" s="1" t="s">
        <v>26</v>
      </c>
      <c r="B29" s="1">
        <v>19.2</v>
      </c>
      <c r="C29" s="1">
        <v>56.008000000000003</v>
      </c>
    </row>
    <row r="30" spans="1:12" x14ac:dyDescent="0.25">
      <c r="A30" s="2" t="s">
        <v>27</v>
      </c>
      <c r="B30" s="2">
        <v>32.799999999999997</v>
      </c>
      <c r="C30" s="2">
        <v>58.0105</v>
      </c>
    </row>
    <row r="31" spans="1:12" x14ac:dyDescent="0.25">
      <c r="A31" s="2" t="s">
        <v>28</v>
      </c>
      <c r="B31" s="2">
        <v>18.399999999999999</v>
      </c>
      <c r="C31" s="2">
        <v>43.115499999999997</v>
      </c>
    </row>
    <row r="32" spans="1:12" x14ac:dyDescent="0.25">
      <c r="A32" s="1" t="s">
        <v>29</v>
      </c>
      <c r="B32" s="1">
        <v>25.5</v>
      </c>
      <c r="C32" s="1">
        <v>45.0428</v>
      </c>
    </row>
    <row r="33" spans="1:3" x14ac:dyDescent="0.25">
      <c r="A33" s="1" t="s">
        <v>30</v>
      </c>
      <c r="B33" s="1">
        <v>19</v>
      </c>
      <c r="C33" s="1">
        <v>48.480200000000004</v>
      </c>
    </row>
    <row r="34" spans="1:3" x14ac:dyDescent="0.25">
      <c r="A34" s="1" t="s">
        <v>31</v>
      </c>
      <c r="B34" s="1">
        <v>21.7</v>
      </c>
      <c r="C34" s="1">
        <v>50.290599999999998</v>
      </c>
    </row>
    <row r="35" spans="1:3" x14ac:dyDescent="0.25">
      <c r="A35" s="1" t="s">
        <v>32</v>
      </c>
      <c r="B35" s="1">
        <v>17.5</v>
      </c>
      <c r="C35" s="1">
        <v>64.539299999999997</v>
      </c>
    </row>
    <row r="36" spans="1:3" x14ac:dyDescent="0.25">
      <c r="A36" s="1" t="s">
        <v>33</v>
      </c>
      <c r="B36" s="1">
        <v>33.9</v>
      </c>
      <c r="C36" s="1">
        <v>46.3476</v>
      </c>
    </row>
    <row r="37" spans="1:3" x14ac:dyDescent="0.25">
      <c r="A37" s="1" t="s">
        <v>34</v>
      </c>
      <c r="B37" s="1">
        <v>27.7</v>
      </c>
      <c r="C37" s="1">
        <v>50.597799999999999</v>
      </c>
    </row>
    <row r="38" spans="1:3" x14ac:dyDescent="0.25">
      <c r="A38" s="1" t="s">
        <v>35</v>
      </c>
      <c r="B38" s="1">
        <v>25.4</v>
      </c>
      <c r="C38" s="1">
        <v>53.255099999999999</v>
      </c>
    </row>
    <row r="39" spans="1:3" x14ac:dyDescent="0.25">
      <c r="A39" s="1" t="s">
        <v>36</v>
      </c>
      <c r="B39" s="1">
        <v>22.3</v>
      </c>
      <c r="C39" s="1">
        <v>56.129100000000001</v>
      </c>
    </row>
    <row r="40" spans="1:3" x14ac:dyDescent="0.25">
      <c r="A40" s="1" t="s">
        <v>37</v>
      </c>
      <c r="B40" s="1">
        <v>29.8</v>
      </c>
      <c r="C40" s="1">
        <v>48.707999999999998</v>
      </c>
    </row>
    <row r="41" spans="1:3" x14ac:dyDescent="0.25">
      <c r="A41" s="1" t="s">
        <v>38</v>
      </c>
      <c r="B41" s="1">
        <v>20.2</v>
      </c>
      <c r="C41" s="1">
        <v>59.218699999999998</v>
      </c>
    </row>
    <row r="42" spans="1:3" x14ac:dyDescent="0.25">
      <c r="A42" s="1" t="s">
        <v>39</v>
      </c>
      <c r="B42" s="1">
        <v>25.9</v>
      </c>
      <c r="C42" s="1">
        <v>51.671999999999997</v>
      </c>
    </row>
    <row r="43" spans="1:3" x14ac:dyDescent="0.25">
      <c r="A43" s="1" t="s">
        <v>40</v>
      </c>
      <c r="B43" s="1">
        <v>23.7</v>
      </c>
      <c r="C43" s="1">
        <v>56.999499999999998</v>
      </c>
    </row>
    <row r="44" spans="1:3" x14ac:dyDescent="0.25">
      <c r="A44" s="1" t="s">
        <v>41</v>
      </c>
      <c r="B44" s="1">
        <v>21.3</v>
      </c>
      <c r="C44" s="1">
        <v>52.286900000000003</v>
      </c>
    </row>
    <row r="45" spans="1:3" x14ac:dyDescent="0.25">
      <c r="A45" s="1" t="s">
        <v>42</v>
      </c>
      <c r="B45" s="1">
        <v>26.4</v>
      </c>
      <c r="C45" s="1">
        <v>54.7104</v>
      </c>
    </row>
    <row r="46" spans="1:3" x14ac:dyDescent="0.25">
      <c r="A46" s="1" t="s">
        <v>43</v>
      </c>
      <c r="B46" s="1">
        <v>22.6</v>
      </c>
      <c r="C46" s="1">
        <v>54.518900000000002</v>
      </c>
    </row>
    <row r="47" spans="1:3" x14ac:dyDescent="0.25">
      <c r="A47" s="1" t="s">
        <v>44</v>
      </c>
      <c r="B47" s="1">
        <v>20.9</v>
      </c>
      <c r="C47" s="1">
        <v>55.353999999999999</v>
      </c>
    </row>
    <row r="48" spans="1:3" x14ac:dyDescent="0.25">
      <c r="A48" s="1" t="s">
        <v>45</v>
      </c>
      <c r="B48" s="1">
        <v>21.2</v>
      </c>
      <c r="C48" s="1">
        <v>58.6036</v>
      </c>
    </row>
    <row r="49" spans="1:3" x14ac:dyDescent="0.25">
      <c r="A49" s="1" t="s">
        <v>46</v>
      </c>
      <c r="B49" s="1">
        <v>24.1</v>
      </c>
      <c r="C49" s="1">
        <v>57.767800000000001</v>
      </c>
    </row>
    <row r="50" spans="1:3" x14ac:dyDescent="0.25">
      <c r="A50" s="2" t="s">
        <v>47</v>
      </c>
      <c r="B50" s="2">
        <v>35.700000000000003</v>
      </c>
      <c r="C50" s="2">
        <v>55.446100000000001</v>
      </c>
    </row>
    <row r="51" spans="1:3" x14ac:dyDescent="0.25">
      <c r="A51" s="1" t="s">
        <v>48</v>
      </c>
      <c r="B51" s="1">
        <v>26.7</v>
      </c>
      <c r="C51" s="1">
        <v>51.73</v>
      </c>
    </row>
    <row r="52" spans="1:3" x14ac:dyDescent="0.25">
      <c r="A52" s="1" t="s">
        <v>49</v>
      </c>
      <c r="B52" s="1">
        <v>24.4</v>
      </c>
      <c r="C52" s="1">
        <v>59.569899999999997</v>
      </c>
    </row>
    <row r="53" spans="1:3" x14ac:dyDescent="0.25">
      <c r="A53" s="1" t="s">
        <v>50</v>
      </c>
      <c r="B53" s="1">
        <v>24.5</v>
      </c>
      <c r="C53" s="1">
        <v>52.6036</v>
      </c>
    </row>
    <row r="54" spans="1:3" x14ac:dyDescent="0.25">
      <c r="A54" s="1" t="s">
        <v>51</v>
      </c>
      <c r="B54" s="1">
        <v>17</v>
      </c>
      <c r="C54" s="1">
        <v>59.561799999999998</v>
      </c>
    </row>
    <row r="55" spans="1:3" x14ac:dyDescent="0.25">
      <c r="A55" s="1" t="s">
        <v>52</v>
      </c>
      <c r="B55" s="1">
        <v>22.3</v>
      </c>
      <c r="C55" s="1">
        <v>55.755800000000001</v>
      </c>
    </row>
    <row r="56" spans="1:3" x14ac:dyDescent="0.25">
      <c r="A56" s="1" t="s">
        <v>53</v>
      </c>
      <c r="B56" s="1">
        <v>19.7</v>
      </c>
      <c r="C56" s="1">
        <v>68.970699999999994</v>
      </c>
    </row>
    <row r="57" spans="1:3" x14ac:dyDescent="0.25">
      <c r="A57" s="1" t="s">
        <v>54</v>
      </c>
      <c r="B57" s="1">
        <v>23.3</v>
      </c>
      <c r="C57" s="1">
        <v>56.296500000000002</v>
      </c>
    </row>
    <row r="58" spans="1:3" x14ac:dyDescent="0.25">
      <c r="A58" s="1" t="s">
        <v>55</v>
      </c>
      <c r="B58" s="1">
        <v>24.2</v>
      </c>
      <c r="C58" s="1">
        <v>58.521500000000003</v>
      </c>
    </row>
    <row r="59" spans="1:3" x14ac:dyDescent="0.25">
      <c r="A59" s="1" t="s">
        <v>56</v>
      </c>
      <c r="B59" s="1">
        <v>22.6</v>
      </c>
      <c r="C59" s="1">
        <v>55.008400000000002</v>
      </c>
    </row>
    <row r="60" spans="1:3" x14ac:dyDescent="0.25">
      <c r="A60" s="1" t="s">
        <v>57</v>
      </c>
      <c r="B60" s="1">
        <v>30.6</v>
      </c>
      <c r="C60" s="1">
        <v>54.991399999999999</v>
      </c>
    </row>
    <row r="61" spans="1:3" x14ac:dyDescent="0.25">
      <c r="A61" s="1" t="s">
        <v>58</v>
      </c>
      <c r="B61" s="1">
        <v>32.4</v>
      </c>
      <c r="C61" s="1">
        <v>51.7682</v>
      </c>
    </row>
    <row r="62" spans="1:3" x14ac:dyDescent="0.25">
      <c r="A62" s="1" t="s">
        <v>59</v>
      </c>
      <c r="B62" s="1">
        <v>25.8</v>
      </c>
      <c r="C62" s="1">
        <v>52.960999999999999</v>
      </c>
    </row>
    <row r="63" spans="1:3" x14ac:dyDescent="0.25">
      <c r="A63" s="1" t="s">
        <v>60</v>
      </c>
      <c r="B63" s="1">
        <v>22.6</v>
      </c>
      <c r="C63" s="1">
        <v>53.195900000000002</v>
      </c>
    </row>
    <row r="64" spans="1:3" x14ac:dyDescent="0.25">
      <c r="A64" s="1" t="s">
        <v>61</v>
      </c>
      <c r="B64" s="1">
        <v>25.9</v>
      </c>
      <c r="C64" s="1">
        <v>57.819400000000002</v>
      </c>
    </row>
    <row r="65" spans="1:3" x14ac:dyDescent="0.25">
      <c r="A65" s="1" t="s">
        <v>62</v>
      </c>
      <c r="B65" s="1">
        <v>29.3</v>
      </c>
      <c r="C65" s="1">
        <v>47.235700000000001</v>
      </c>
    </row>
    <row r="66" spans="1:3" x14ac:dyDescent="0.25">
      <c r="A66" s="1" t="s">
        <v>63</v>
      </c>
      <c r="B66" s="1">
        <v>20.9</v>
      </c>
      <c r="C66" s="1">
        <v>54.6265</v>
      </c>
    </row>
    <row r="67" spans="1:3" x14ac:dyDescent="0.25">
      <c r="A67" s="1" t="s">
        <v>64</v>
      </c>
      <c r="B67" s="1">
        <v>25.4</v>
      </c>
      <c r="C67" s="1">
        <v>53.241500000000002</v>
      </c>
    </row>
    <row r="68" spans="1:3" x14ac:dyDescent="0.25">
      <c r="A68" s="1" t="s">
        <v>65</v>
      </c>
      <c r="B68" s="1">
        <v>25.2</v>
      </c>
      <c r="C68" s="1">
        <v>51.53</v>
      </c>
    </row>
    <row r="69" spans="1:3" x14ac:dyDescent="0.25">
      <c r="A69" s="2" t="s">
        <v>66</v>
      </c>
      <c r="B69" s="2">
        <v>11.1</v>
      </c>
      <c r="C69" s="2">
        <v>46.959099999999999</v>
      </c>
    </row>
    <row r="70" spans="1:3" x14ac:dyDescent="0.25">
      <c r="A70" s="1" t="s">
        <v>67</v>
      </c>
      <c r="B70" s="1">
        <v>30.5</v>
      </c>
      <c r="C70" s="1">
        <v>56.838900000000002</v>
      </c>
    </row>
    <row r="71" spans="1:3" x14ac:dyDescent="0.25">
      <c r="A71" s="1" t="s">
        <v>68</v>
      </c>
      <c r="B71" s="1">
        <v>24.9</v>
      </c>
      <c r="C71" s="1">
        <v>54.782800000000002</v>
      </c>
    </row>
    <row r="72" spans="1:3" x14ac:dyDescent="0.25">
      <c r="A72" s="1" t="s">
        <v>69</v>
      </c>
      <c r="B72" s="1">
        <v>22.6</v>
      </c>
      <c r="C72" s="1">
        <v>52.721499999999999</v>
      </c>
    </row>
    <row r="73" spans="1:3" x14ac:dyDescent="0.25">
      <c r="A73" s="1" t="s">
        <v>70</v>
      </c>
      <c r="B73" s="1">
        <v>21</v>
      </c>
      <c r="C73" s="1">
        <v>56.863599999999998</v>
      </c>
    </row>
    <row r="74" spans="1:3" x14ac:dyDescent="0.25">
      <c r="A74" s="1" t="s">
        <v>71</v>
      </c>
      <c r="B74" s="1">
        <v>19.899999999999999</v>
      </c>
      <c r="C74" s="1">
        <v>56.496499999999997</v>
      </c>
    </row>
    <row r="75" spans="1:3" x14ac:dyDescent="0.25">
      <c r="A75" s="1" t="s">
        <v>72</v>
      </c>
      <c r="B75" s="1">
        <v>22.5</v>
      </c>
      <c r="C75" s="1">
        <v>54.204000000000001</v>
      </c>
    </row>
    <row r="76" spans="1:3" x14ac:dyDescent="0.25">
      <c r="A76" s="2" t="s">
        <v>73</v>
      </c>
      <c r="B76" s="2">
        <v>33.6</v>
      </c>
      <c r="C76" s="2">
        <v>57.152999999999999</v>
      </c>
    </row>
    <row r="77" spans="1:3" x14ac:dyDescent="0.25">
      <c r="A77" s="1" t="s">
        <v>74</v>
      </c>
      <c r="B77" s="1">
        <v>22.6</v>
      </c>
      <c r="C77" s="1">
        <v>54.3142</v>
      </c>
    </row>
    <row r="78" spans="1:3" x14ac:dyDescent="0.25">
      <c r="A78" s="1" t="s">
        <v>75</v>
      </c>
      <c r="B78" s="1">
        <v>30.7</v>
      </c>
      <c r="C78" s="1">
        <v>55.164400000000001</v>
      </c>
    </row>
    <row r="79" spans="1:3" x14ac:dyDescent="0.25">
      <c r="A79" s="1" t="s">
        <v>76</v>
      </c>
      <c r="B79" s="1">
        <v>22.3</v>
      </c>
      <c r="C79" s="1">
        <v>57.626100000000001</v>
      </c>
    </row>
    <row r="80" spans="1:3" x14ac:dyDescent="0.25">
      <c r="A80" s="1" t="s">
        <v>77</v>
      </c>
      <c r="B80" s="1">
        <v>16.8</v>
      </c>
      <c r="C80" s="1">
        <v>48.79</v>
      </c>
    </row>
    <row r="81" spans="1:3" x14ac:dyDescent="0.25">
      <c r="A81" s="1" t="s">
        <v>78</v>
      </c>
      <c r="B81" s="1">
        <v>9.6999999999999993</v>
      </c>
      <c r="C81" s="1">
        <v>67.666700000000006</v>
      </c>
    </row>
    <row r="82" spans="1:3" x14ac:dyDescent="0.25">
      <c r="A82" s="2" t="s">
        <v>79</v>
      </c>
      <c r="B82" s="2">
        <v>30.7</v>
      </c>
      <c r="C82" s="2">
        <v>61.004600000000003</v>
      </c>
    </row>
    <row r="83" spans="1:3" x14ac:dyDescent="0.25">
      <c r="A83" s="1" t="s">
        <v>80</v>
      </c>
      <c r="B83" s="1">
        <v>7.4</v>
      </c>
      <c r="C83" s="1">
        <v>64.733699999999999</v>
      </c>
    </row>
    <row r="84" spans="1:3" x14ac:dyDescent="0.25">
      <c r="A84" s="1" t="s">
        <v>81</v>
      </c>
      <c r="B84" s="1">
        <v>21</v>
      </c>
      <c r="C84" s="1">
        <v>66.533299999999997</v>
      </c>
    </row>
    <row r="85" spans="1:3" x14ac:dyDescent="0.25">
      <c r="A85" s="1" t="s">
        <v>82</v>
      </c>
      <c r="B85" s="1">
        <v>22.3</v>
      </c>
      <c r="C85" s="1">
        <v>55.755800000000001</v>
      </c>
    </row>
    <row r="86" spans="1:3" x14ac:dyDescent="0.25">
      <c r="A86" s="1" t="s">
        <v>83</v>
      </c>
      <c r="B86" s="1">
        <v>23.9</v>
      </c>
      <c r="C86" s="1">
        <v>59.9343</v>
      </c>
    </row>
    <row r="87" spans="1:3" x14ac:dyDescent="0.25">
      <c r="A87" s="1" t="s">
        <v>84</v>
      </c>
      <c r="B87" s="1">
        <v>28</v>
      </c>
      <c r="C87" s="1">
        <v>44.616700000000002</v>
      </c>
    </row>
    <row r="88" spans="1:3" x14ac:dyDescent="0.25">
      <c r="A88" s="1" t="s">
        <v>85</v>
      </c>
      <c r="B88" s="1">
        <v>28</v>
      </c>
      <c r="C88" s="1">
        <v>45</v>
      </c>
    </row>
  </sheetData>
  <mergeCells count="2">
    <mergeCell ref="A1:C2"/>
    <mergeCell ref="E19:L2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3210-A46A-4A63-8A91-F62F9585C46D}">
  <dimension ref="A1:V81"/>
  <sheetViews>
    <sheetView topLeftCell="B1" workbookViewId="0">
      <selection activeCell="O4" sqref="O4"/>
    </sheetView>
  </sheetViews>
  <sheetFormatPr defaultRowHeight="15" x14ac:dyDescent="0.25"/>
  <cols>
    <col min="1" max="1" width="36.5703125" bestFit="1" customWidth="1"/>
    <col min="2" max="2" width="19.5703125" bestFit="1" customWidth="1"/>
    <col min="3" max="3" width="14.85546875" bestFit="1" customWidth="1"/>
    <col min="14" max="14" width="18" bestFit="1" customWidth="1"/>
    <col min="15" max="15" width="24" bestFit="1" customWidth="1"/>
    <col min="16" max="16" width="11.28515625" customWidth="1"/>
  </cols>
  <sheetData>
    <row r="1" spans="1:22" x14ac:dyDescent="0.25">
      <c r="A1" s="8" t="s">
        <v>90</v>
      </c>
      <c r="B1" s="8"/>
      <c r="C1" s="8"/>
    </row>
    <row r="2" spans="1:22" x14ac:dyDescent="0.25">
      <c r="A2" s="8"/>
      <c r="B2" s="8"/>
      <c r="C2" s="8"/>
    </row>
    <row r="3" spans="1:22" ht="15.75" x14ac:dyDescent="0.25">
      <c r="A3" s="1" t="s">
        <v>0</v>
      </c>
      <c r="B3" s="1" t="s">
        <v>86</v>
      </c>
      <c r="C3" s="1" t="s">
        <v>87</v>
      </c>
      <c r="N3" s="14" t="s">
        <v>101</v>
      </c>
      <c r="O3" s="14"/>
      <c r="P3" s="14"/>
      <c r="Q3" s="14"/>
      <c r="R3" s="14"/>
      <c r="S3" s="14"/>
      <c r="T3" s="14"/>
      <c r="U3" s="14"/>
      <c r="V3" s="14"/>
    </row>
    <row r="4" spans="1:22" x14ac:dyDescent="0.25">
      <c r="A4" s="1" t="s">
        <v>1</v>
      </c>
      <c r="B4" s="1">
        <v>28.9</v>
      </c>
      <c r="C4" s="1">
        <v>44.609400000000001</v>
      </c>
      <c r="N4" s="4" t="s">
        <v>91</v>
      </c>
      <c r="O4" s="5" t="s">
        <v>92</v>
      </c>
      <c r="P4" s="13" t="s">
        <v>94</v>
      </c>
      <c r="Q4" s="13"/>
      <c r="R4" s="12" t="s">
        <v>100</v>
      </c>
      <c r="S4" s="13"/>
      <c r="T4" s="13"/>
      <c r="U4" s="13"/>
      <c r="V4" s="13"/>
    </row>
    <row r="5" spans="1:22" ht="15" customHeight="1" x14ac:dyDescent="0.25">
      <c r="A5" s="1" t="s">
        <v>2</v>
      </c>
      <c r="B5" s="1">
        <v>22.3</v>
      </c>
      <c r="C5" s="1">
        <v>51.958399999999997</v>
      </c>
      <c r="N5" s="1">
        <f>ROUND(CORREL(B4:B81,C4:C81),2)</f>
        <v>-0.61</v>
      </c>
      <c r="O5" s="3" t="s">
        <v>93</v>
      </c>
      <c r="P5" s="1" t="s">
        <v>97</v>
      </c>
      <c r="Q5" s="1">
        <f>ROUND(ABS(N5*SQRT((COUNT(B4:B81)-2)/(1-N5^2))),2)</f>
        <v>6.71</v>
      </c>
      <c r="R5" s="11" t="s">
        <v>104</v>
      </c>
      <c r="S5" s="11"/>
      <c r="T5" s="11"/>
      <c r="U5" s="11"/>
      <c r="V5" s="11"/>
    </row>
    <row r="6" spans="1:22" x14ac:dyDescent="0.25">
      <c r="A6" s="1" t="s">
        <v>3</v>
      </c>
      <c r="B6" s="1">
        <v>30.6</v>
      </c>
      <c r="C6" s="1">
        <v>54.738799999999998</v>
      </c>
      <c r="P6" s="1" t="s">
        <v>95</v>
      </c>
      <c r="Q6" s="1">
        <f>ROUND(_xlfn.T.INV.2T(0.05,COUNT(B4:B81)),2)</f>
        <v>1.99</v>
      </c>
      <c r="R6" s="11"/>
      <c r="S6" s="11"/>
      <c r="T6" s="11"/>
      <c r="U6" s="11"/>
      <c r="V6" s="11"/>
    </row>
    <row r="7" spans="1:22" x14ac:dyDescent="0.25">
      <c r="A7" s="1" t="s">
        <v>4</v>
      </c>
      <c r="B7" s="1">
        <v>15.9</v>
      </c>
      <c r="C7" s="1">
        <v>51.8339</v>
      </c>
      <c r="P7" s="16" t="s">
        <v>96</v>
      </c>
      <c r="Q7" s="16"/>
      <c r="R7" s="11"/>
      <c r="S7" s="11"/>
      <c r="T7" s="11"/>
      <c r="U7" s="11"/>
      <c r="V7" s="11"/>
    </row>
    <row r="8" spans="1:22" ht="15" customHeight="1" x14ac:dyDescent="0.25">
      <c r="A8" s="1" t="s">
        <v>5</v>
      </c>
      <c r="B8" s="1">
        <v>29.7</v>
      </c>
      <c r="C8" s="1">
        <v>42.984900000000003</v>
      </c>
      <c r="P8" s="17" t="s">
        <v>98</v>
      </c>
      <c r="Q8" s="17"/>
      <c r="R8" s="11"/>
      <c r="S8" s="11"/>
      <c r="T8" s="11"/>
      <c r="U8" s="11"/>
      <c r="V8" s="11"/>
    </row>
    <row r="9" spans="1:22" x14ac:dyDescent="0.25">
      <c r="A9" s="1" t="s">
        <v>6</v>
      </c>
      <c r="B9" s="1">
        <v>26.9</v>
      </c>
      <c r="C9" s="1">
        <v>43.157800000000002</v>
      </c>
      <c r="P9" s="17"/>
      <c r="Q9" s="17"/>
      <c r="R9" s="11"/>
      <c r="S9" s="11"/>
      <c r="T9" s="11"/>
      <c r="U9" s="11"/>
      <c r="V9" s="11"/>
    </row>
    <row r="10" spans="1:22" x14ac:dyDescent="0.25">
      <c r="A10" s="1" t="s">
        <v>7</v>
      </c>
      <c r="B10" s="1">
        <v>27.7</v>
      </c>
      <c r="C10" s="1">
        <v>43.484400000000001</v>
      </c>
      <c r="P10" s="17"/>
      <c r="Q10" s="17"/>
      <c r="R10" s="11"/>
      <c r="S10" s="11"/>
      <c r="T10" s="11"/>
      <c r="U10" s="11"/>
      <c r="V10" s="11"/>
    </row>
    <row r="11" spans="1:22" x14ac:dyDescent="0.25">
      <c r="A11" s="1" t="s">
        <v>8</v>
      </c>
      <c r="B11" s="1">
        <v>31.6</v>
      </c>
      <c r="C11" s="1">
        <v>46.308300000000003</v>
      </c>
      <c r="P11" s="17"/>
      <c r="Q11" s="17"/>
      <c r="R11" s="11"/>
      <c r="S11" s="11"/>
      <c r="T11" s="11"/>
      <c r="U11" s="11"/>
      <c r="V11" s="11"/>
    </row>
    <row r="12" spans="1:22" x14ac:dyDescent="0.25">
      <c r="A12" s="1" t="s">
        <v>9</v>
      </c>
      <c r="B12" s="1">
        <v>28.2</v>
      </c>
      <c r="C12" s="1">
        <v>44.226199999999999</v>
      </c>
      <c r="P12" s="17"/>
      <c r="Q12" s="17"/>
      <c r="R12" s="11"/>
      <c r="S12" s="11"/>
      <c r="T12" s="11"/>
      <c r="U12" s="11"/>
      <c r="V12" s="11"/>
    </row>
    <row r="13" spans="1:22" x14ac:dyDescent="0.25">
      <c r="A13" s="1" t="s">
        <v>10</v>
      </c>
      <c r="B13" s="1">
        <v>19.2</v>
      </c>
      <c r="C13" s="1">
        <v>61.782899999999998</v>
      </c>
      <c r="P13" s="1" t="s">
        <v>99</v>
      </c>
      <c r="Q13" s="1">
        <f>ROUND(_xlfn.T.DIST.2T(Q5,COUNT(B4:B81)),2)</f>
        <v>0</v>
      </c>
      <c r="R13" s="11"/>
      <c r="S13" s="11"/>
      <c r="T13" s="11"/>
      <c r="U13" s="11"/>
      <c r="V13" s="11"/>
    </row>
    <row r="14" spans="1:22" x14ac:dyDescent="0.25">
      <c r="A14" s="1" t="s">
        <v>11</v>
      </c>
      <c r="B14" s="1">
        <v>21.1</v>
      </c>
      <c r="C14" s="1">
        <v>61.666699999999999</v>
      </c>
      <c r="P14" s="15" t="s">
        <v>102</v>
      </c>
      <c r="Q14" s="15"/>
      <c r="R14" s="15"/>
      <c r="S14" s="15"/>
      <c r="T14" s="15"/>
      <c r="U14" s="15"/>
      <c r="V14" s="15"/>
    </row>
    <row r="15" spans="1:22" x14ac:dyDescent="0.25">
      <c r="A15" s="1" t="s">
        <v>12</v>
      </c>
      <c r="B15" s="1">
        <v>23.7</v>
      </c>
      <c r="C15" s="1">
        <v>56.638599999999997</v>
      </c>
      <c r="P15" s="15"/>
      <c r="Q15" s="15"/>
      <c r="R15" s="15"/>
      <c r="S15" s="15"/>
      <c r="T15" s="15"/>
      <c r="U15" s="15"/>
      <c r="V15" s="15"/>
    </row>
    <row r="16" spans="1:22" x14ac:dyDescent="0.25">
      <c r="A16" s="1" t="s">
        <v>13</v>
      </c>
      <c r="B16" s="1">
        <v>22.1</v>
      </c>
      <c r="C16" s="1">
        <v>54.180799999999998</v>
      </c>
    </row>
    <row r="17" spans="1:3" x14ac:dyDescent="0.25">
      <c r="A17" s="1" t="s">
        <v>15</v>
      </c>
      <c r="B17" s="1">
        <v>26.9</v>
      </c>
      <c r="C17" s="1">
        <v>43.042000000000002</v>
      </c>
    </row>
    <row r="18" spans="1:3" x14ac:dyDescent="0.25">
      <c r="A18" s="1" t="s">
        <v>16</v>
      </c>
      <c r="B18" s="1">
        <v>24.7</v>
      </c>
      <c r="C18" s="1">
        <v>55.788699999999999</v>
      </c>
    </row>
    <row r="19" spans="1:3" x14ac:dyDescent="0.25">
      <c r="A19" s="1" t="s">
        <v>17</v>
      </c>
      <c r="B19" s="1">
        <v>23.9</v>
      </c>
      <c r="C19" s="1">
        <v>51.719099999999997</v>
      </c>
    </row>
    <row r="20" spans="1:3" x14ac:dyDescent="0.25">
      <c r="A20" s="1" t="s">
        <v>18</v>
      </c>
      <c r="B20" s="1">
        <v>27.4</v>
      </c>
      <c r="C20" s="1">
        <v>56.852600000000002</v>
      </c>
    </row>
    <row r="21" spans="1:3" x14ac:dyDescent="0.25">
      <c r="A21" s="1" t="s">
        <v>19</v>
      </c>
      <c r="B21" s="1">
        <v>19.5</v>
      </c>
      <c r="C21" s="1">
        <v>53.720599999999997</v>
      </c>
    </row>
    <row r="22" spans="1:3" x14ac:dyDescent="0.25">
      <c r="A22" s="1" t="s">
        <v>20</v>
      </c>
      <c r="B22" s="1">
        <v>31.5</v>
      </c>
      <c r="C22" s="1">
        <v>43.317799999999998</v>
      </c>
    </row>
    <row r="23" spans="1:3" x14ac:dyDescent="0.25">
      <c r="A23" s="1" t="s">
        <v>21</v>
      </c>
      <c r="B23" s="1">
        <v>21.9</v>
      </c>
      <c r="C23" s="1">
        <v>56.119399999999999</v>
      </c>
    </row>
    <row r="24" spans="1:3" x14ac:dyDescent="0.25">
      <c r="A24" s="1" t="s">
        <v>22</v>
      </c>
      <c r="B24" s="1">
        <v>22.8</v>
      </c>
      <c r="C24" s="1">
        <v>53.347799999999999</v>
      </c>
    </row>
    <row r="25" spans="1:3" x14ac:dyDescent="0.25">
      <c r="A25" s="1" t="s">
        <v>23</v>
      </c>
      <c r="B25" s="1">
        <v>20.5</v>
      </c>
      <c r="C25" s="1">
        <v>52.033299999999997</v>
      </c>
    </row>
    <row r="26" spans="1:3" x14ac:dyDescent="0.25">
      <c r="A26" s="1" t="s">
        <v>24</v>
      </c>
      <c r="B26" s="1">
        <v>21.4</v>
      </c>
      <c r="C26" s="1">
        <v>53.0167</v>
      </c>
    </row>
    <row r="27" spans="1:3" x14ac:dyDescent="0.25">
      <c r="A27" s="1" t="s">
        <v>25</v>
      </c>
      <c r="B27" s="1">
        <v>29.2</v>
      </c>
      <c r="C27" s="1">
        <v>45.035499999999999</v>
      </c>
    </row>
    <row r="28" spans="1:3" x14ac:dyDescent="0.25">
      <c r="A28" s="1" t="s">
        <v>26</v>
      </c>
      <c r="B28" s="1">
        <v>19.2</v>
      </c>
      <c r="C28" s="1">
        <v>56.008000000000003</v>
      </c>
    </row>
    <row r="29" spans="1:3" x14ac:dyDescent="0.25">
      <c r="A29" s="1" t="s">
        <v>29</v>
      </c>
      <c r="B29" s="1">
        <v>25.5</v>
      </c>
      <c r="C29" s="1">
        <v>45.0428</v>
      </c>
    </row>
    <row r="30" spans="1:3" x14ac:dyDescent="0.25">
      <c r="A30" s="1" t="s">
        <v>30</v>
      </c>
      <c r="B30" s="1">
        <v>19</v>
      </c>
      <c r="C30" s="1">
        <v>48.480200000000004</v>
      </c>
    </row>
    <row r="31" spans="1:3" x14ac:dyDescent="0.25">
      <c r="A31" s="1" t="s">
        <v>31</v>
      </c>
      <c r="B31" s="1">
        <v>21.7</v>
      </c>
      <c r="C31" s="1">
        <v>50.290599999999998</v>
      </c>
    </row>
    <row r="32" spans="1:3" x14ac:dyDescent="0.25">
      <c r="A32" s="1" t="s">
        <v>32</v>
      </c>
      <c r="B32" s="1">
        <v>17.5</v>
      </c>
      <c r="C32" s="1">
        <v>64.539299999999997</v>
      </c>
    </row>
    <row r="33" spans="1:3" x14ac:dyDescent="0.25">
      <c r="A33" s="1" t="s">
        <v>33</v>
      </c>
      <c r="B33" s="1">
        <v>33.9</v>
      </c>
      <c r="C33" s="1">
        <v>46.3476</v>
      </c>
    </row>
    <row r="34" spans="1:3" x14ac:dyDescent="0.25">
      <c r="A34" s="1" t="s">
        <v>34</v>
      </c>
      <c r="B34" s="1">
        <v>27.7</v>
      </c>
      <c r="C34" s="1">
        <v>50.597799999999999</v>
      </c>
    </row>
    <row r="35" spans="1:3" x14ac:dyDescent="0.25">
      <c r="A35" s="1" t="s">
        <v>35</v>
      </c>
      <c r="B35" s="1">
        <v>25.4</v>
      </c>
      <c r="C35" s="1">
        <v>53.255099999999999</v>
      </c>
    </row>
    <row r="36" spans="1:3" x14ac:dyDescent="0.25">
      <c r="A36" s="1" t="s">
        <v>36</v>
      </c>
      <c r="B36" s="1">
        <v>22.3</v>
      </c>
      <c r="C36" s="1">
        <v>56.129100000000001</v>
      </c>
    </row>
    <row r="37" spans="1:3" x14ac:dyDescent="0.25">
      <c r="A37" s="1" t="s">
        <v>37</v>
      </c>
      <c r="B37" s="1">
        <v>29.8</v>
      </c>
      <c r="C37" s="1">
        <v>48.707999999999998</v>
      </c>
    </row>
    <row r="38" spans="1:3" x14ac:dyDescent="0.25">
      <c r="A38" s="1" t="s">
        <v>38</v>
      </c>
      <c r="B38" s="1">
        <v>20.2</v>
      </c>
      <c r="C38" s="1">
        <v>59.218699999999998</v>
      </c>
    </row>
    <row r="39" spans="1:3" x14ac:dyDescent="0.25">
      <c r="A39" s="1" t="s">
        <v>39</v>
      </c>
      <c r="B39" s="1">
        <v>25.9</v>
      </c>
      <c r="C39" s="1">
        <v>51.671999999999997</v>
      </c>
    </row>
    <row r="40" spans="1:3" x14ac:dyDescent="0.25">
      <c r="A40" s="1" t="s">
        <v>40</v>
      </c>
      <c r="B40" s="1">
        <v>23.7</v>
      </c>
      <c r="C40" s="1">
        <v>56.999499999999998</v>
      </c>
    </row>
    <row r="41" spans="1:3" x14ac:dyDescent="0.25">
      <c r="A41" s="1" t="s">
        <v>41</v>
      </c>
      <c r="B41" s="1">
        <v>21.3</v>
      </c>
      <c r="C41" s="1">
        <v>52.286900000000003</v>
      </c>
    </row>
    <row r="42" spans="1:3" x14ac:dyDescent="0.25">
      <c r="A42" s="1" t="s">
        <v>42</v>
      </c>
      <c r="B42" s="1">
        <v>26.4</v>
      </c>
      <c r="C42" s="1">
        <v>54.7104</v>
      </c>
    </row>
    <row r="43" spans="1:3" x14ac:dyDescent="0.25">
      <c r="A43" s="1" t="s">
        <v>43</v>
      </c>
      <c r="B43" s="1">
        <v>22.6</v>
      </c>
      <c r="C43" s="1">
        <v>54.518900000000002</v>
      </c>
    </row>
    <row r="44" spans="1:3" x14ac:dyDescent="0.25">
      <c r="A44" s="1" t="s">
        <v>44</v>
      </c>
      <c r="B44" s="1">
        <v>20.9</v>
      </c>
      <c r="C44" s="1">
        <v>55.353999999999999</v>
      </c>
    </row>
    <row r="45" spans="1:3" x14ac:dyDescent="0.25">
      <c r="A45" s="1" t="s">
        <v>45</v>
      </c>
      <c r="B45" s="1">
        <v>21.2</v>
      </c>
      <c r="C45" s="1">
        <v>58.6036</v>
      </c>
    </row>
    <row r="46" spans="1:3" x14ac:dyDescent="0.25">
      <c r="A46" s="1" t="s">
        <v>46</v>
      </c>
      <c r="B46" s="1">
        <v>24.1</v>
      </c>
      <c r="C46" s="1">
        <v>57.767800000000001</v>
      </c>
    </row>
    <row r="47" spans="1:3" x14ac:dyDescent="0.25">
      <c r="A47" s="1" t="s">
        <v>48</v>
      </c>
      <c r="B47" s="1">
        <v>26.7</v>
      </c>
      <c r="C47" s="1">
        <v>51.73</v>
      </c>
    </row>
    <row r="48" spans="1:3" x14ac:dyDescent="0.25">
      <c r="A48" s="1" t="s">
        <v>49</v>
      </c>
      <c r="B48" s="1">
        <v>24.4</v>
      </c>
      <c r="C48" s="1">
        <v>59.569899999999997</v>
      </c>
    </row>
    <row r="49" spans="1:3" x14ac:dyDescent="0.25">
      <c r="A49" s="1" t="s">
        <v>50</v>
      </c>
      <c r="B49" s="1">
        <v>24.5</v>
      </c>
      <c r="C49" s="1">
        <v>52.6036</v>
      </c>
    </row>
    <row r="50" spans="1:3" x14ac:dyDescent="0.25">
      <c r="A50" s="1" t="s">
        <v>51</v>
      </c>
      <c r="B50" s="1">
        <v>17</v>
      </c>
      <c r="C50" s="1">
        <v>59.561799999999998</v>
      </c>
    </row>
    <row r="51" spans="1:3" x14ac:dyDescent="0.25">
      <c r="A51" s="1" t="s">
        <v>52</v>
      </c>
      <c r="B51" s="1">
        <v>22.3</v>
      </c>
      <c r="C51" s="1">
        <v>55.755800000000001</v>
      </c>
    </row>
    <row r="52" spans="1:3" x14ac:dyDescent="0.25">
      <c r="A52" s="1" t="s">
        <v>53</v>
      </c>
      <c r="B52" s="1">
        <v>19.7</v>
      </c>
      <c r="C52" s="1">
        <v>68.970699999999994</v>
      </c>
    </row>
    <row r="53" spans="1:3" x14ac:dyDescent="0.25">
      <c r="A53" s="1" t="s">
        <v>54</v>
      </c>
      <c r="B53" s="1">
        <v>23.3</v>
      </c>
      <c r="C53" s="1">
        <v>56.296500000000002</v>
      </c>
    </row>
    <row r="54" spans="1:3" x14ac:dyDescent="0.25">
      <c r="A54" s="1" t="s">
        <v>55</v>
      </c>
      <c r="B54" s="1">
        <v>24.2</v>
      </c>
      <c r="C54" s="1">
        <v>58.521500000000003</v>
      </c>
    </row>
    <row r="55" spans="1:3" x14ac:dyDescent="0.25">
      <c r="A55" s="1" t="s">
        <v>56</v>
      </c>
      <c r="B55" s="1">
        <v>22.6</v>
      </c>
      <c r="C55" s="1">
        <v>55.008400000000002</v>
      </c>
    </row>
    <row r="56" spans="1:3" x14ac:dyDescent="0.25">
      <c r="A56" s="1" t="s">
        <v>57</v>
      </c>
      <c r="B56" s="1">
        <v>30.6</v>
      </c>
      <c r="C56" s="1">
        <v>54.991399999999999</v>
      </c>
    </row>
    <row r="57" spans="1:3" x14ac:dyDescent="0.25">
      <c r="A57" s="1" t="s">
        <v>58</v>
      </c>
      <c r="B57" s="1">
        <v>32.4</v>
      </c>
      <c r="C57" s="1">
        <v>51.7682</v>
      </c>
    </row>
    <row r="58" spans="1:3" x14ac:dyDescent="0.25">
      <c r="A58" s="1" t="s">
        <v>59</v>
      </c>
      <c r="B58" s="1">
        <v>25.8</v>
      </c>
      <c r="C58" s="1">
        <v>52.960999999999999</v>
      </c>
    </row>
    <row r="59" spans="1:3" x14ac:dyDescent="0.25">
      <c r="A59" s="1" t="s">
        <v>60</v>
      </c>
      <c r="B59" s="1">
        <v>22.6</v>
      </c>
      <c r="C59" s="1">
        <v>53.195900000000002</v>
      </c>
    </row>
    <row r="60" spans="1:3" x14ac:dyDescent="0.25">
      <c r="A60" s="1" t="s">
        <v>61</v>
      </c>
      <c r="B60" s="1">
        <v>25.9</v>
      </c>
      <c r="C60" s="1">
        <v>57.819400000000002</v>
      </c>
    </row>
    <row r="61" spans="1:3" x14ac:dyDescent="0.25">
      <c r="A61" s="1" t="s">
        <v>62</v>
      </c>
      <c r="B61" s="1">
        <v>29.3</v>
      </c>
      <c r="C61" s="1">
        <v>47.235700000000001</v>
      </c>
    </row>
    <row r="62" spans="1:3" x14ac:dyDescent="0.25">
      <c r="A62" s="1" t="s">
        <v>63</v>
      </c>
      <c r="B62" s="1">
        <v>20.9</v>
      </c>
      <c r="C62" s="1">
        <v>54.6265</v>
      </c>
    </row>
    <row r="63" spans="1:3" x14ac:dyDescent="0.25">
      <c r="A63" s="1" t="s">
        <v>64</v>
      </c>
      <c r="B63" s="1">
        <v>25.4</v>
      </c>
      <c r="C63" s="1">
        <v>53.241500000000002</v>
      </c>
    </row>
    <row r="64" spans="1:3" x14ac:dyDescent="0.25">
      <c r="A64" s="1" t="s">
        <v>65</v>
      </c>
      <c r="B64" s="1">
        <v>25.2</v>
      </c>
      <c r="C64" s="1">
        <v>51.53</v>
      </c>
    </row>
    <row r="65" spans="1:3" x14ac:dyDescent="0.25">
      <c r="A65" s="1" t="s">
        <v>67</v>
      </c>
      <c r="B65" s="1">
        <v>30.5</v>
      </c>
      <c r="C65" s="1">
        <v>56.838900000000002</v>
      </c>
    </row>
    <row r="66" spans="1:3" x14ac:dyDescent="0.25">
      <c r="A66" s="1" t="s">
        <v>68</v>
      </c>
      <c r="B66" s="1">
        <v>24.9</v>
      </c>
      <c r="C66" s="1">
        <v>54.782800000000002</v>
      </c>
    </row>
    <row r="67" spans="1:3" x14ac:dyDescent="0.25">
      <c r="A67" s="1" t="s">
        <v>69</v>
      </c>
      <c r="B67" s="1">
        <v>22.6</v>
      </c>
      <c r="C67" s="1">
        <v>52.721499999999999</v>
      </c>
    </row>
    <row r="68" spans="1:3" x14ac:dyDescent="0.25">
      <c r="A68" s="1" t="s">
        <v>70</v>
      </c>
      <c r="B68" s="1">
        <v>21</v>
      </c>
      <c r="C68" s="1">
        <v>56.863599999999998</v>
      </c>
    </row>
    <row r="69" spans="1:3" x14ac:dyDescent="0.25">
      <c r="A69" s="1" t="s">
        <v>71</v>
      </c>
      <c r="B69" s="1">
        <v>19.899999999999999</v>
      </c>
      <c r="C69" s="1">
        <v>56.496499999999997</v>
      </c>
    </row>
    <row r="70" spans="1:3" x14ac:dyDescent="0.25">
      <c r="A70" s="1" t="s">
        <v>72</v>
      </c>
      <c r="B70" s="1">
        <v>22.5</v>
      </c>
      <c r="C70" s="1">
        <v>54.204000000000001</v>
      </c>
    </row>
    <row r="71" spans="1:3" x14ac:dyDescent="0.25">
      <c r="A71" s="1" t="s">
        <v>74</v>
      </c>
      <c r="B71" s="1">
        <v>22.6</v>
      </c>
      <c r="C71" s="1">
        <v>54.3142</v>
      </c>
    </row>
    <row r="72" spans="1:3" x14ac:dyDescent="0.25">
      <c r="A72" s="1" t="s">
        <v>75</v>
      </c>
      <c r="B72" s="1">
        <v>30.7</v>
      </c>
      <c r="C72" s="1">
        <v>55.164400000000001</v>
      </c>
    </row>
    <row r="73" spans="1:3" x14ac:dyDescent="0.25">
      <c r="A73" s="1" t="s">
        <v>76</v>
      </c>
      <c r="B73" s="1">
        <v>22.3</v>
      </c>
      <c r="C73" s="1">
        <v>57.626100000000001</v>
      </c>
    </row>
    <row r="74" spans="1:3" x14ac:dyDescent="0.25">
      <c r="A74" s="1" t="s">
        <v>77</v>
      </c>
      <c r="B74" s="1">
        <v>16.8</v>
      </c>
      <c r="C74" s="1">
        <v>48.79</v>
      </c>
    </row>
    <row r="75" spans="1:3" x14ac:dyDescent="0.25">
      <c r="A75" s="1" t="s">
        <v>78</v>
      </c>
      <c r="B75" s="1">
        <v>9.6999999999999993</v>
      </c>
      <c r="C75" s="1">
        <v>67.666700000000006</v>
      </c>
    </row>
    <row r="76" spans="1:3" x14ac:dyDescent="0.25">
      <c r="A76" s="1" t="s">
        <v>80</v>
      </c>
      <c r="B76" s="1">
        <v>7.4</v>
      </c>
      <c r="C76" s="1">
        <v>64.733699999999999</v>
      </c>
    </row>
    <row r="77" spans="1:3" x14ac:dyDescent="0.25">
      <c r="A77" s="1" t="s">
        <v>81</v>
      </c>
      <c r="B77" s="1">
        <v>21</v>
      </c>
      <c r="C77" s="1">
        <v>66.533299999999997</v>
      </c>
    </row>
    <row r="78" spans="1:3" x14ac:dyDescent="0.25">
      <c r="A78" s="1" t="s">
        <v>82</v>
      </c>
      <c r="B78" s="1">
        <v>22.3</v>
      </c>
      <c r="C78" s="1">
        <v>55.755800000000001</v>
      </c>
    </row>
    <row r="79" spans="1:3" x14ac:dyDescent="0.25">
      <c r="A79" s="1" t="s">
        <v>83</v>
      </c>
      <c r="B79" s="1">
        <v>23.9</v>
      </c>
      <c r="C79" s="1">
        <v>59.9343</v>
      </c>
    </row>
    <row r="80" spans="1:3" x14ac:dyDescent="0.25">
      <c r="A80" s="1" t="s">
        <v>84</v>
      </c>
      <c r="B80" s="1">
        <v>28</v>
      </c>
      <c r="C80" s="1">
        <v>44.616700000000002</v>
      </c>
    </row>
    <row r="81" spans="1:3" x14ac:dyDescent="0.25">
      <c r="A81" s="1" t="s">
        <v>85</v>
      </c>
      <c r="B81" s="1">
        <v>28</v>
      </c>
      <c r="C81" s="1">
        <v>45</v>
      </c>
    </row>
  </sheetData>
  <mergeCells count="8">
    <mergeCell ref="R5:V13"/>
    <mergeCell ref="R4:V4"/>
    <mergeCell ref="N3:V3"/>
    <mergeCell ref="P14:V15"/>
    <mergeCell ref="A1:C2"/>
    <mergeCell ref="P4:Q4"/>
    <mergeCell ref="P7:Q7"/>
    <mergeCell ref="P8:Q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A5A7-DDBB-485B-A3C4-F9032974AE18}">
  <dimension ref="A1:W81"/>
  <sheetViews>
    <sheetView tabSelected="1" topLeftCell="J18" zoomScaleNormal="100" workbookViewId="0">
      <selection activeCell="V34" sqref="V34"/>
    </sheetView>
  </sheetViews>
  <sheetFormatPr defaultRowHeight="15" x14ac:dyDescent="0.25"/>
  <cols>
    <col min="1" max="1" width="36" bestFit="1" customWidth="1"/>
    <col min="2" max="2" width="19.5703125" bestFit="1" customWidth="1"/>
    <col min="3" max="3" width="14.85546875" bestFit="1" customWidth="1"/>
    <col min="5" max="6" width="15" customWidth="1"/>
    <col min="11" max="11" width="25" bestFit="1" customWidth="1"/>
    <col min="13" max="13" width="5" bestFit="1" customWidth="1"/>
    <col min="14" max="14" width="24" bestFit="1" customWidth="1"/>
    <col min="15" max="15" width="10" customWidth="1"/>
    <col min="16" max="16" width="10.28515625" customWidth="1"/>
  </cols>
  <sheetData>
    <row r="1" spans="1:23" x14ac:dyDescent="0.25">
      <c r="A1" s="8" t="s">
        <v>103</v>
      </c>
      <c r="B1" s="8"/>
      <c r="C1" s="8"/>
    </row>
    <row r="2" spans="1:23" x14ac:dyDescent="0.25">
      <c r="A2" s="8"/>
      <c r="B2" s="8"/>
      <c r="C2" s="8"/>
    </row>
    <row r="3" spans="1:23" ht="15.75" x14ac:dyDescent="0.25">
      <c r="A3" s="1" t="s">
        <v>0</v>
      </c>
      <c r="B3" s="1" t="s">
        <v>86</v>
      </c>
      <c r="C3" s="1" t="s">
        <v>87</v>
      </c>
      <c r="E3" s="18" t="s">
        <v>105</v>
      </c>
      <c r="F3" s="18"/>
      <c r="K3" s="7" t="s">
        <v>112</v>
      </c>
      <c r="M3" s="14" t="s">
        <v>113</v>
      </c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5" customHeight="1" x14ac:dyDescent="0.25">
      <c r="A4" s="1" t="s">
        <v>1</v>
      </c>
      <c r="B4" s="1">
        <v>28.9</v>
      </c>
      <c r="C4" s="1">
        <v>44.609400000000001</v>
      </c>
      <c r="E4" s="1" t="s">
        <v>106</v>
      </c>
      <c r="F4" s="1">
        <f>AVERAGE(C4:C81)</f>
        <v>53.711861538461527</v>
      </c>
      <c r="G4" s="11" t="s">
        <v>111</v>
      </c>
      <c r="H4" s="11"/>
      <c r="I4" s="11"/>
      <c r="K4" s="1">
        <f>ROUND($F$7+$F$6*C4,1)</f>
        <v>28.3</v>
      </c>
      <c r="M4" s="6" t="s">
        <v>114</v>
      </c>
      <c r="N4" s="5" t="s">
        <v>92</v>
      </c>
      <c r="O4" s="13" t="s">
        <v>94</v>
      </c>
      <c r="P4" s="13"/>
      <c r="Q4" s="12" t="s">
        <v>100</v>
      </c>
      <c r="R4" s="12"/>
      <c r="S4" s="12"/>
      <c r="T4" s="12"/>
      <c r="U4" s="12"/>
      <c r="V4" s="12"/>
      <c r="W4" s="12"/>
    </row>
    <row r="5" spans="1:23" ht="15" customHeight="1" x14ac:dyDescent="0.25">
      <c r="A5" s="1" t="s">
        <v>2</v>
      </c>
      <c r="B5" s="1">
        <v>22.3</v>
      </c>
      <c r="C5" s="1">
        <v>51.958399999999997</v>
      </c>
      <c r="E5" s="1" t="s">
        <v>107</v>
      </c>
      <c r="F5" s="1">
        <f>AVERAGE(B4:B81)</f>
        <v>23.882051282051286</v>
      </c>
      <c r="G5" s="11"/>
      <c r="H5" s="11"/>
      <c r="I5" s="11"/>
      <c r="K5" s="1">
        <f t="shared" ref="K5:K68" si="0">ROUND($F$7+$F$6*C5,1)</f>
        <v>24.7</v>
      </c>
      <c r="M5" s="1">
        <f>ROUND(0.61^2,2)</f>
        <v>0.37</v>
      </c>
      <c r="N5" s="3" t="s">
        <v>115</v>
      </c>
      <c r="O5" s="1" t="s">
        <v>116</v>
      </c>
      <c r="P5" s="3">
        <f>ROUND(M5/(1-M5)*(COUNT(B4:B81)-2),2)</f>
        <v>44.63</v>
      </c>
      <c r="Q5" s="11" t="s">
        <v>119</v>
      </c>
      <c r="R5" s="11"/>
      <c r="S5" s="11"/>
      <c r="T5" s="11"/>
      <c r="U5" s="11"/>
      <c r="V5" s="11"/>
      <c r="W5" s="11"/>
    </row>
    <row r="6" spans="1:23" ht="15" customHeight="1" x14ac:dyDescent="0.25">
      <c r="A6" s="1" t="s">
        <v>3</v>
      </c>
      <c r="B6" s="1">
        <v>30.6</v>
      </c>
      <c r="C6" s="1">
        <v>54.738799999999998</v>
      </c>
      <c r="E6" s="1" t="s">
        <v>108</v>
      </c>
      <c r="F6" s="1">
        <f>ROUND(SUMPRODUCT(C4:C81-$F$4,B4:B81-$F$5)/SUMPRODUCT((C4:C81-$F$4)^2),2)</f>
        <v>-0.49</v>
      </c>
      <c r="G6" s="11"/>
      <c r="H6" s="11"/>
      <c r="I6" s="11"/>
      <c r="K6" s="1">
        <f t="shared" si="0"/>
        <v>23.4</v>
      </c>
      <c r="M6" s="11" t="s">
        <v>120</v>
      </c>
      <c r="N6" s="11"/>
      <c r="O6" s="20" t="s">
        <v>117</v>
      </c>
      <c r="P6" s="3">
        <f>ROUND(_xlfn.F.INV.RT(0.05,1,COUNT(B4:B81)),2)</f>
        <v>3.96</v>
      </c>
      <c r="Q6" s="11"/>
      <c r="R6" s="11"/>
      <c r="S6" s="11"/>
      <c r="T6" s="11"/>
      <c r="U6" s="11"/>
      <c r="V6" s="11"/>
      <c r="W6" s="11"/>
    </row>
    <row r="7" spans="1:23" x14ac:dyDescent="0.25">
      <c r="A7" s="1" t="s">
        <v>4</v>
      </c>
      <c r="B7" s="1">
        <v>15.9</v>
      </c>
      <c r="C7" s="1">
        <v>51.8339</v>
      </c>
      <c r="E7" s="1" t="s">
        <v>109</v>
      </c>
      <c r="F7" s="1">
        <f>ROUND(F5-F6*F4,2)</f>
        <v>50.2</v>
      </c>
      <c r="G7" s="11"/>
      <c r="H7" s="11"/>
      <c r="I7" s="11"/>
      <c r="K7" s="1">
        <f t="shared" si="0"/>
        <v>24.8</v>
      </c>
      <c r="M7" s="11"/>
      <c r="N7" s="11"/>
      <c r="O7" s="21" t="s">
        <v>118</v>
      </c>
      <c r="P7" s="22"/>
      <c r="Q7" s="11"/>
      <c r="R7" s="11"/>
      <c r="S7" s="11"/>
      <c r="T7" s="11"/>
      <c r="U7" s="11"/>
      <c r="V7" s="11"/>
      <c r="W7" s="11"/>
    </row>
    <row r="8" spans="1:23" x14ac:dyDescent="0.25">
      <c r="A8" s="1" t="s">
        <v>5</v>
      </c>
      <c r="B8" s="1">
        <v>29.7</v>
      </c>
      <c r="C8" s="1">
        <v>42.984900000000003</v>
      </c>
      <c r="E8" s="19" t="s">
        <v>110</v>
      </c>
      <c r="F8" s="19"/>
      <c r="K8" s="1">
        <f t="shared" si="0"/>
        <v>29.1</v>
      </c>
      <c r="M8" s="11"/>
      <c r="N8" s="11"/>
      <c r="Q8" s="11"/>
      <c r="R8" s="11"/>
      <c r="S8" s="11"/>
      <c r="T8" s="11"/>
      <c r="U8" s="11"/>
      <c r="V8" s="11"/>
      <c r="W8" s="11"/>
    </row>
    <row r="9" spans="1:23" x14ac:dyDescent="0.25">
      <c r="A9" s="1" t="s">
        <v>6</v>
      </c>
      <c r="B9" s="1">
        <v>26.9</v>
      </c>
      <c r="C9" s="1">
        <v>43.157800000000002</v>
      </c>
      <c r="E9" s="19"/>
      <c r="F9" s="19"/>
      <c r="K9" s="1">
        <f t="shared" si="0"/>
        <v>29.1</v>
      </c>
      <c r="M9" s="11"/>
      <c r="N9" s="11"/>
      <c r="Q9" s="11"/>
      <c r="R9" s="11"/>
      <c r="S9" s="11"/>
      <c r="T9" s="11"/>
      <c r="U9" s="11"/>
      <c r="V9" s="11"/>
      <c r="W9" s="11"/>
    </row>
    <row r="10" spans="1:23" x14ac:dyDescent="0.25">
      <c r="A10" s="1" t="s">
        <v>7</v>
      </c>
      <c r="B10" s="1">
        <v>27.7</v>
      </c>
      <c r="C10" s="1">
        <v>43.484400000000001</v>
      </c>
      <c r="K10" s="1">
        <f t="shared" si="0"/>
        <v>28.9</v>
      </c>
    </row>
    <row r="11" spans="1:23" x14ac:dyDescent="0.25">
      <c r="A11" s="1" t="s">
        <v>8</v>
      </c>
      <c r="B11" s="1">
        <v>31.6</v>
      </c>
      <c r="C11" s="1">
        <v>46.308300000000003</v>
      </c>
      <c r="K11" s="1">
        <f t="shared" si="0"/>
        <v>27.5</v>
      </c>
    </row>
    <row r="12" spans="1:23" x14ac:dyDescent="0.25">
      <c r="A12" s="1" t="s">
        <v>9</v>
      </c>
      <c r="B12" s="1">
        <v>28.2</v>
      </c>
      <c r="C12" s="1">
        <v>44.226199999999999</v>
      </c>
      <c r="K12" s="1">
        <f t="shared" si="0"/>
        <v>28.5</v>
      </c>
    </row>
    <row r="13" spans="1:23" x14ac:dyDescent="0.25">
      <c r="A13" s="1" t="s">
        <v>10</v>
      </c>
      <c r="B13" s="1">
        <v>19.2</v>
      </c>
      <c r="C13" s="1">
        <v>61.782899999999998</v>
      </c>
      <c r="K13" s="1">
        <f t="shared" si="0"/>
        <v>19.899999999999999</v>
      </c>
    </row>
    <row r="14" spans="1:23" x14ac:dyDescent="0.25">
      <c r="A14" s="1" t="s">
        <v>11</v>
      </c>
      <c r="B14" s="1">
        <v>21.1</v>
      </c>
      <c r="C14" s="1">
        <v>61.666699999999999</v>
      </c>
      <c r="K14" s="1">
        <f t="shared" si="0"/>
        <v>20</v>
      </c>
    </row>
    <row r="15" spans="1:23" x14ac:dyDescent="0.25">
      <c r="A15" s="1" t="s">
        <v>12</v>
      </c>
      <c r="B15" s="1">
        <v>23.7</v>
      </c>
      <c r="C15" s="1">
        <v>56.638599999999997</v>
      </c>
      <c r="K15" s="1">
        <f t="shared" si="0"/>
        <v>22.4</v>
      </c>
    </row>
    <row r="16" spans="1:23" x14ac:dyDescent="0.25">
      <c r="A16" s="1" t="s">
        <v>13</v>
      </c>
      <c r="B16" s="1">
        <v>22.1</v>
      </c>
      <c r="C16" s="1">
        <v>54.180799999999998</v>
      </c>
      <c r="K16" s="1">
        <f t="shared" si="0"/>
        <v>23.7</v>
      </c>
    </row>
    <row r="17" spans="1:11" x14ac:dyDescent="0.25">
      <c r="A17" s="1" t="s">
        <v>15</v>
      </c>
      <c r="B17" s="1">
        <v>26.9</v>
      </c>
      <c r="C17" s="1">
        <v>43.042000000000002</v>
      </c>
      <c r="K17" s="1">
        <f t="shared" si="0"/>
        <v>29.1</v>
      </c>
    </row>
    <row r="18" spans="1:11" x14ac:dyDescent="0.25">
      <c r="A18" s="1" t="s">
        <v>16</v>
      </c>
      <c r="B18" s="1">
        <v>24.7</v>
      </c>
      <c r="C18" s="1">
        <v>55.788699999999999</v>
      </c>
      <c r="K18" s="1">
        <f t="shared" si="0"/>
        <v>22.9</v>
      </c>
    </row>
    <row r="19" spans="1:11" x14ac:dyDescent="0.25">
      <c r="A19" s="1" t="s">
        <v>17</v>
      </c>
      <c r="B19" s="1">
        <v>23.9</v>
      </c>
      <c r="C19" s="1">
        <v>51.719099999999997</v>
      </c>
      <c r="K19" s="1">
        <f t="shared" si="0"/>
        <v>24.9</v>
      </c>
    </row>
    <row r="20" spans="1:11" x14ac:dyDescent="0.25">
      <c r="A20" s="1" t="s">
        <v>18</v>
      </c>
      <c r="B20" s="1">
        <v>27.4</v>
      </c>
      <c r="C20" s="1">
        <v>56.852600000000002</v>
      </c>
      <c r="K20" s="1">
        <f t="shared" si="0"/>
        <v>22.3</v>
      </c>
    </row>
    <row r="21" spans="1:11" x14ac:dyDescent="0.25">
      <c r="A21" s="1" t="s">
        <v>19</v>
      </c>
      <c r="B21" s="1">
        <v>19.5</v>
      </c>
      <c r="C21" s="1">
        <v>53.720599999999997</v>
      </c>
      <c r="K21" s="1">
        <f t="shared" si="0"/>
        <v>23.9</v>
      </c>
    </row>
    <row r="22" spans="1:11" x14ac:dyDescent="0.25">
      <c r="A22" s="1" t="s">
        <v>20</v>
      </c>
      <c r="B22" s="1">
        <v>31.5</v>
      </c>
      <c r="C22" s="1">
        <v>43.317799999999998</v>
      </c>
      <c r="K22" s="1">
        <f t="shared" si="0"/>
        <v>29</v>
      </c>
    </row>
    <row r="23" spans="1:11" x14ac:dyDescent="0.25">
      <c r="A23" s="1" t="s">
        <v>21</v>
      </c>
      <c r="B23" s="1">
        <v>21.9</v>
      </c>
      <c r="C23" s="1">
        <v>56.119399999999999</v>
      </c>
      <c r="K23" s="1">
        <f t="shared" si="0"/>
        <v>22.7</v>
      </c>
    </row>
    <row r="24" spans="1:11" x14ac:dyDescent="0.25">
      <c r="A24" s="1" t="s">
        <v>22</v>
      </c>
      <c r="B24" s="1">
        <v>22.8</v>
      </c>
      <c r="C24" s="1">
        <v>53.347799999999999</v>
      </c>
      <c r="K24" s="1">
        <f t="shared" si="0"/>
        <v>24.1</v>
      </c>
    </row>
    <row r="25" spans="1:11" x14ac:dyDescent="0.25">
      <c r="A25" s="1" t="s">
        <v>23</v>
      </c>
      <c r="B25" s="1">
        <v>20.5</v>
      </c>
      <c r="C25" s="1">
        <v>52.033299999999997</v>
      </c>
      <c r="K25" s="1">
        <f t="shared" si="0"/>
        <v>24.7</v>
      </c>
    </row>
    <row r="26" spans="1:11" x14ac:dyDescent="0.25">
      <c r="A26" s="1" t="s">
        <v>24</v>
      </c>
      <c r="B26" s="1">
        <v>21.4</v>
      </c>
      <c r="C26" s="1">
        <v>53.0167</v>
      </c>
      <c r="K26" s="1">
        <f t="shared" si="0"/>
        <v>24.2</v>
      </c>
    </row>
    <row r="27" spans="1:11" x14ac:dyDescent="0.25">
      <c r="A27" s="1" t="s">
        <v>25</v>
      </c>
      <c r="B27" s="1">
        <v>29.2</v>
      </c>
      <c r="C27" s="1">
        <v>45.035499999999999</v>
      </c>
      <c r="K27" s="1">
        <f t="shared" si="0"/>
        <v>28.1</v>
      </c>
    </row>
    <row r="28" spans="1:11" x14ac:dyDescent="0.25">
      <c r="A28" s="1" t="s">
        <v>26</v>
      </c>
      <c r="B28" s="1">
        <v>19.2</v>
      </c>
      <c r="C28" s="1">
        <v>56.008000000000003</v>
      </c>
      <c r="K28" s="1">
        <f t="shared" si="0"/>
        <v>22.8</v>
      </c>
    </row>
    <row r="29" spans="1:11" x14ac:dyDescent="0.25">
      <c r="A29" s="1" t="s">
        <v>29</v>
      </c>
      <c r="B29" s="1">
        <v>25.5</v>
      </c>
      <c r="C29" s="1">
        <v>45.0428</v>
      </c>
      <c r="K29" s="1">
        <f t="shared" si="0"/>
        <v>28.1</v>
      </c>
    </row>
    <row r="30" spans="1:11" x14ac:dyDescent="0.25">
      <c r="A30" s="1" t="s">
        <v>30</v>
      </c>
      <c r="B30" s="1">
        <v>19</v>
      </c>
      <c r="C30" s="1">
        <v>48.480200000000004</v>
      </c>
      <c r="K30" s="1">
        <f t="shared" si="0"/>
        <v>26.4</v>
      </c>
    </row>
    <row r="31" spans="1:11" x14ac:dyDescent="0.25">
      <c r="A31" s="1" t="s">
        <v>31</v>
      </c>
      <c r="B31" s="1">
        <v>21.7</v>
      </c>
      <c r="C31" s="1">
        <v>50.290599999999998</v>
      </c>
      <c r="K31" s="1">
        <f t="shared" si="0"/>
        <v>25.6</v>
      </c>
    </row>
    <row r="32" spans="1:11" x14ac:dyDescent="0.25">
      <c r="A32" s="1" t="s">
        <v>32</v>
      </c>
      <c r="B32" s="1">
        <v>17.5</v>
      </c>
      <c r="C32" s="1">
        <v>64.539299999999997</v>
      </c>
      <c r="K32" s="1">
        <f t="shared" si="0"/>
        <v>18.600000000000001</v>
      </c>
    </row>
    <row r="33" spans="1:11" x14ac:dyDescent="0.25">
      <c r="A33" s="1" t="s">
        <v>33</v>
      </c>
      <c r="B33" s="1">
        <v>33.9</v>
      </c>
      <c r="C33" s="1">
        <v>46.3476</v>
      </c>
      <c r="K33" s="1">
        <f t="shared" si="0"/>
        <v>27.5</v>
      </c>
    </row>
    <row r="34" spans="1:11" x14ac:dyDescent="0.25">
      <c r="A34" s="1" t="s">
        <v>34</v>
      </c>
      <c r="B34" s="1">
        <v>27.7</v>
      </c>
      <c r="C34" s="1">
        <v>50.597799999999999</v>
      </c>
      <c r="K34" s="1">
        <f t="shared" si="0"/>
        <v>25.4</v>
      </c>
    </row>
    <row r="35" spans="1:11" x14ac:dyDescent="0.25">
      <c r="A35" s="1" t="s">
        <v>35</v>
      </c>
      <c r="B35" s="1">
        <v>25.4</v>
      </c>
      <c r="C35" s="1">
        <v>53.255099999999999</v>
      </c>
      <c r="K35" s="1">
        <f t="shared" si="0"/>
        <v>24.1</v>
      </c>
    </row>
    <row r="36" spans="1:11" x14ac:dyDescent="0.25">
      <c r="A36" s="1" t="s">
        <v>36</v>
      </c>
      <c r="B36" s="1">
        <v>22.3</v>
      </c>
      <c r="C36" s="1">
        <v>56.129100000000001</v>
      </c>
      <c r="K36" s="1">
        <f t="shared" si="0"/>
        <v>22.7</v>
      </c>
    </row>
    <row r="37" spans="1:11" x14ac:dyDescent="0.25">
      <c r="A37" s="1" t="s">
        <v>37</v>
      </c>
      <c r="B37" s="1">
        <v>29.8</v>
      </c>
      <c r="C37" s="1">
        <v>48.707999999999998</v>
      </c>
      <c r="K37" s="1">
        <f t="shared" si="0"/>
        <v>26.3</v>
      </c>
    </row>
    <row r="38" spans="1:11" x14ac:dyDescent="0.25">
      <c r="A38" s="1" t="s">
        <v>38</v>
      </c>
      <c r="B38" s="1">
        <v>20.2</v>
      </c>
      <c r="C38" s="1">
        <v>59.218699999999998</v>
      </c>
      <c r="K38" s="1">
        <f t="shared" si="0"/>
        <v>21.2</v>
      </c>
    </row>
    <row r="39" spans="1:11" x14ac:dyDescent="0.25">
      <c r="A39" s="1" t="s">
        <v>39</v>
      </c>
      <c r="B39" s="1">
        <v>25.9</v>
      </c>
      <c r="C39" s="1">
        <v>51.671999999999997</v>
      </c>
      <c r="K39" s="1">
        <f t="shared" si="0"/>
        <v>24.9</v>
      </c>
    </row>
    <row r="40" spans="1:11" x14ac:dyDescent="0.25">
      <c r="A40" s="1" t="s">
        <v>40</v>
      </c>
      <c r="B40" s="1">
        <v>23.7</v>
      </c>
      <c r="C40" s="1">
        <v>56.999499999999998</v>
      </c>
      <c r="K40" s="1">
        <f t="shared" si="0"/>
        <v>22.3</v>
      </c>
    </row>
    <row r="41" spans="1:11" x14ac:dyDescent="0.25">
      <c r="A41" s="1" t="s">
        <v>41</v>
      </c>
      <c r="B41" s="1">
        <v>21.3</v>
      </c>
      <c r="C41" s="1">
        <v>52.286900000000003</v>
      </c>
      <c r="K41" s="1">
        <f t="shared" si="0"/>
        <v>24.6</v>
      </c>
    </row>
    <row r="42" spans="1:11" x14ac:dyDescent="0.25">
      <c r="A42" s="1" t="s">
        <v>42</v>
      </c>
      <c r="B42" s="1">
        <v>26.4</v>
      </c>
      <c r="C42" s="1">
        <v>54.7104</v>
      </c>
      <c r="K42" s="1">
        <f t="shared" si="0"/>
        <v>23.4</v>
      </c>
    </row>
    <row r="43" spans="1:11" x14ac:dyDescent="0.25">
      <c r="A43" s="1" t="s">
        <v>43</v>
      </c>
      <c r="B43" s="1">
        <v>22.6</v>
      </c>
      <c r="C43" s="1">
        <v>54.518900000000002</v>
      </c>
      <c r="K43" s="1">
        <f t="shared" si="0"/>
        <v>23.5</v>
      </c>
    </row>
    <row r="44" spans="1:11" x14ac:dyDescent="0.25">
      <c r="A44" s="1" t="s">
        <v>44</v>
      </c>
      <c r="B44" s="1">
        <v>20.9</v>
      </c>
      <c r="C44" s="1">
        <v>55.353999999999999</v>
      </c>
      <c r="K44" s="1">
        <f t="shared" si="0"/>
        <v>23.1</v>
      </c>
    </row>
    <row r="45" spans="1:11" x14ac:dyDescent="0.25">
      <c r="A45" s="1" t="s">
        <v>45</v>
      </c>
      <c r="B45" s="1">
        <v>21.2</v>
      </c>
      <c r="C45" s="1">
        <v>58.6036</v>
      </c>
      <c r="K45" s="1">
        <f t="shared" si="0"/>
        <v>21.5</v>
      </c>
    </row>
    <row r="46" spans="1:11" x14ac:dyDescent="0.25">
      <c r="A46" s="1" t="s">
        <v>46</v>
      </c>
      <c r="B46" s="1">
        <v>24.1</v>
      </c>
      <c r="C46" s="1">
        <v>57.767800000000001</v>
      </c>
      <c r="K46" s="1">
        <f t="shared" si="0"/>
        <v>21.9</v>
      </c>
    </row>
    <row r="47" spans="1:11" x14ac:dyDescent="0.25">
      <c r="A47" s="1" t="s">
        <v>48</v>
      </c>
      <c r="B47" s="1">
        <v>26.7</v>
      </c>
      <c r="C47" s="1">
        <v>51.73</v>
      </c>
      <c r="K47" s="1">
        <f t="shared" si="0"/>
        <v>24.9</v>
      </c>
    </row>
    <row r="48" spans="1:11" x14ac:dyDescent="0.25">
      <c r="A48" s="1" t="s">
        <v>49</v>
      </c>
      <c r="B48" s="1">
        <v>24.4</v>
      </c>
      <c r="C48" s="1">
        <v>59.569899999999997</v>
      </c>
      <c r="K48" s="1">
        <f t="shared" si="0"/>
        <v>21</v>
      </c>
    </row>
    <row r="49" spans="1:11" x14ac:dyDescent="0.25">
      <c r="A49" s="1" t="s">
        <v>50</v>
      </c>
      <c r="B49" s="1">
        <v>24.5</v>
      </c>
      <c r="C49" s="1">
        <v>52.6036</v>
      </c>
      <c r="K49" s="1">
        <f t="shared" si="0"/>
        <v>24.4</v>
      </c>
    </row>
    <row r="50" spans="1:11" x14ac:dyDescent="0.25">
      <c r="A50" s="1" t="s">
        <v>51</v>
      </c>
      <c r="B50" s="1">
        <v>17</v>
      </c>
      <c r="C50" s="1">
        <v>59.561799999999998</v>
      </c>
      <c r="K50" s="1">
        <f t="shared" si="0"/>
        <v>21</v>
      </c>
    </row>
    <row r="51" spans="1:11" x14ac:dyDescent="0.25">
      <c r="A51" s="1" t="s">
        <v>52</v>
      </c>
      <c r="B51" s="1">
        <v>22.3</v>
      </c>
      <c r="C51" s="1">
        <v>55.755800000000001</v>
      </c>
      <c r="K51" s="1">
        <f t="shared" si="0"/>
        <v>22.9</v>
      </c>
    </row>
    <row r="52" spans="1:11" x14ac:dyDescent="0.25">
      <c r="A52" s="1" t="s">
        <v>53</v>
      </c>
      <c r="B52" s="1">
        <v>19.7</v>
      </c>
      <c r="C52" s="1">
        <v>68.970699999999994</v>
      </c>
      <c r="K52" s="1">
        <f t="shared" si="0"/>
        <v>16.399999999999999</v>
      </c>
    </row>
    <row r="53" spans="1:11" x14ac:dyDescent="0.25">
      <c r="A53" s="1" t="s">
        <v>54</v>
      </c>
      <c r="B53" s="1">
        <v>23.3</v>
      </c>
      <c r="C53" s="1">
        <v>56.296500000000002</v>
      </c>
      <c r="K53" s="1">
        <f t="shared" si="0"/>
        <v>22.6</v>
      </c>
    </row>
    <row r="54" spans="1:11" x14ac:dyDescent="0.25">
      <c r="A54" s="1" t="s">
        <v>55</v>
      </c>
      <c r="B54" s="1">
        <v>24.2</v>
      </c>
      <c r="C54" s="1">
        <v>58.521500000000003</v>
      </c>
      <c r="K54" s="1">
        <f t="shared" si="0"/>
        <v>21.5</v>
      </c>
    </row>
    <row r="55" spans="1:11" x14ac:dyDescent="0.25">
      <c r="A55" s="1" t="s">
        <v>56</v>
      </c>
      <c r="B55" s="1">
        <v>22.6</v>
      </c>
      <c r="C55" s="1">
        <v>55.008400000000002</v>
      </c>
      <c r="K55" s="1">
        <f t="shared" si="0"/>
        <v>23.2</v>
      </c>
    </row>
    <row r="56" spans="1:11" x14ac:dyDescent="0.25">
      <c r="A56" s="1" t="s">
        <v>57</v>
      </c>
      <c r="B56" s="1">
        <v>30.6</v>
      </c>
      <c r="C56" s="1">
        <v>54.991399999999999</v>
      </c>
      <c r="K56" s="1">
        <f t="shared" si="0"/>
        <v>23.3</v>
      </c>
    </row>
    <row r="57" spans="1:11" x14ac:dyDescent="0.25">
      <c r="A57" s="1" t="s">
        <v>58</v>
      </c>
      <c r="B57" s="1">
        <v>32.4</v>
      </c>
      <c r="C57" s="1">
        <v>51.7682</v>
      </c>
      <c r="K57" s="1">
        <f t="shared" si="0"/>
        <v>24.8</v>
      </c>
    </row>
    <row r="58" spans="1:11" x14ac:dyDescent="0.25">
      <c r="A58" s="1" t="s">
        <v>59</v>
      </c>
      <c r="B58" s="1">
        <v>25.8</v>
      </c>
      <c r="C58" s="1">
        <v>52.960999999999999</v>
      </c>
      <c r="K58" s="1">
        <f t="shared" si="0"/>
        <v>24.2</v>
      </c>
    </row>
    <row r="59" spans="1:11" x14ac:dyDescent="0.25">
      <c r="A59" s="1" t="s">
        <v>60</v>
      </c>
      <c r="B59" s="1">
        <v>22.6</v>
      </c>
      <c r="C59" s="1">
        <v>53.195900000000002</v>
      </c>
      <c r="K59" s="1">
        <f t="shared" si="0"/>
        <v>24.1</v>
      </c>
    </row>
    <row r="60" spans="1:11" x14ac:dyDescent="0.25">
      <c r="A60" s="1" t="s">
        <v>61</v>
      </c>
      <c r="B60" s="1">
        <v>25.9</v>
      </c>
      <c r="C60" s="1">
        <v>57.819400000000002</v>
      </c>
      <c r="K60" s="1">
        <f t="shared" si="0"/>
        <v>21.9</v>
      </c>
    </row>
    <row r="61" spans="1:11" x14ac:dyDescent="0.25">
      <c r="A61" s="1" t="s">
        <v>62</v>
      </c>
      <c r="B61" s="1">
        <v>29.3</v>
      </c>
      <c r="C61" s="1">
        <v>47.235700000000001</v>
      </c>
      <c r="K61" s="1">
        <f t="shared" si="0"/>
        <v>27.1</v>
      </c>
    </row>
    <row r="62" spans="1:11" x14ac:dyDescent="0.25">
      <c r="A62" s="1" t="s">
        <v>63</v>
      </c>
      <c r="B62" s="1">
        <v>20.9</v>
      </c>
      <c r="C62" s="1">
        <v>54.6265</v>
      </c>
      <c r="K62" s="1">
        <f t="shared" si="0"/>
        <v>23.4</v>
      </c>
    </row>
    <row r="63" spans="1:11" x14ac:dyDescent="0.25">
      <c r="A63" s="1" t="s">
        <v>64</v>
      </c>
      <c r="B63" s="1">
        <v>25.4</v>
      </c>
      <c r="C63" s="1">
        <v>53.241500000000002</v>
      </c>
      <c r="K63" s="1">
        <f t="shared" si="0"/>
        <v>24.1</v>
      </c>
    </row>
    <row r="64" spans="1:11" x14ac:dyDescent="0.25">
      <c r="A64" s="1" t="s">
        <v>65</v>
      </c>
      <c r="B64" s="1">
        <v>25.2</v>
      </c>
      <c r="C64" s="1">
        <v>51.53</v>
      </c>
      <c r="K64" s="1">
        <f t="shared" si="0"/>
        <v>25</v>
      </c>
    </row>
    <row r="65" spans="1:11" x14ac:dyDescent="0.25">
      <c r="A65" s="1" t="s">
        <v>67</v>
      </c>
      <c r="B65" s="1">
        <v>30.5</v>
      </c>
      <c r="C65" s="1">
        <v>56.838900000000002</v>
      </c>
      <c r="K65" s="1">
        <f t="shared" si="0"/>
        <v>22.3</v>
      </c>
    </row>
    <row r="66" spans="1:11" x14ac:dyDescent="0.25">
      <c r="A66" s="1" t="s">
        <v>68</v>
      </c>
      <c r="B66" s="1">
        <v>24.9</v>
      </c>
      <c r="C66" s="1">
        <v>54.782800000000002</v>
      </c>
      <c r="K66" s="1">
        <f t="shared" si="0"/>
        <v>23.4</v>
      </c>
    </row>
    <row r="67" spans="1:11" x14ac:dyDescent="0.25">
      <c r="A67" s="1" t="s">
        <v>69</v>
      </c>
      <c r="B67" s="1">
        <v>22.6</v>
      </c>
      <c r="C67" s="1">
        <v>52.721499999999999</v>
      </c>
      <c r="K67" s="1">
        <f t="shared" si="0"/>
        <v>24.4</v>
      </c>
    </row>
    <row r="68" spans="1:11" x14ac:dyDescent="0.25">
      <c r="A68" s="1" t="s">
        <v>70</v>
      </c>
      <c r="B68" s="1">
        <v>21</v>
      </c>
      <c r="C68" s="1">
        <v>56.863599999999998</v>
      </c>
      <c r="K68" s="1">
        <f t="shared" si="0"/>
        <v>22.3</v>
      </c>
    </row>
    <row r="69" spans="1:11" x14ac:dyDescent="0.25">
      <c r="A69" s="1" t="s">
        <v>71</v>
      </c>
      <c r="B69" s="1">
        <v>19.899999999999999</v>
      </c>
      <c r="C69" s="1">
        <v>56.496499999999997</v>
      </c>
      <c r="K69" s="1">
        <f t="shared" ref="K69:K81" si="1">ROUND($F$7+$F$6*C69,1)</f>
        <v>22.5</v>
      </c>
    </row>
    <row r="70" spans="1:11" x14ac:dyDescent="0.25">
      <c r="A70" s="1" t="s">
        <v>72</v>
      </c>
      <c r="B70" s="1">
        <v>22.5</v>
      </c>
      <c r="C70" s="1">
        <v>54.204000000000001</v>
      </c>
      <c r="K70" s="1">
        <f t="shared" si="1"/>
        <v>23.6</v>
      </c>
    </row>
    <row r="71" spans="1:11" x14ac:dyDescent="0.25">
      <c r="A71" s="1" t="s">
        <v>74</v>
      </c>
      <c r="B71" s="1">
        <v>22.6</v>
      </c>
      <c r="C71" s="1">
        <v>54.3142</v>
      </c>
      <c r="K71" s="1">
        <f t="shared" si="1"/>
        <v>23.6</v>
      </c>
    </row>
    <row r="72" spans="1:11" x14ac:dyDescent="0.25">
      <c r="A72" s="1" t="s">
        <v>75</v>
      </c>
      <c r="B72" s="1">
        <v>30.7</v>
      </c>
      <c r="C72" s="1">
        <v>55.164400000000001</v>
      </c>
      <c r="K72" s="1">
        <f t="shared" si="1"/>
        <v>23.2</v>
      </c>
    </row>
    <row r="73" spans="1:11" x14ac:dyDescent="0.25">
      <c r="A73" s="1" t="s">
        <v>76</v>
      </c>
      <c r="B73" s="1">
        <v>22.3</v>
      </c>
      <c r="C73" s="1">
        <v>57.626100000000001</v>
      </c>
      <c r="K73" s="1">
        <f t="shared" si="1"/>
        <v>22</v>
      </c>
    </row>
    <row r="74" spans="1:11" x14ac:dyDescent="0.25">
      <c r="A74" s="1" t="s">
        <v>77</v>
      </c>
      <c r="B74" s="1">
        <v>16.8</v>
      </c>
      <c r="C74" s="1">
        <v>48.79</v>
      </c>
      <c r="K74" s="1">
        <f t="shared" si="1"/>
        <v>26.3</v>
      </c>
    </row>
    <row r="75" spans="1:11" x14ac:dyDescent="0.25">
      <c r="A75" s="1" t="s">
        <v>78</v>
      </c>
      <c r="B75" s="1">
        <v>9.6999999999999993</v>
      </c>
      <c r="C75" s="1">
        <v>67.666700000000006</v>
      </c>
      <c r="K75" s="1">
        <f t="shared" si="1"/>
        <v>17</v>
      </c>
    </row>
    <row r="76" spans="1:11" x14ac:dyDescent="0.25">
      <c r="A76" s="1" t="s">
        <v>80</v>
      </c>
      <c r="B76" s="1">
        <v>7.4</v>
      </c>
      <c r="C76" s="1">
        <v>64.733699999999999</v>
      </c>
      <c r="K76" s="1">
        <f t="shared" si="1"/>
        <v>18.5</v>
      </c>
    </row>
    <row r="77" spans="1:11" x14ac:dyDescent="0.25">
      <c r="A77" s="1" t="s">
        <v>81</v>
      </c>
      <c r="B77" s="1">
        <v>21</v>
      </c>
      <c r="C77" s="1">
        <v>66.533299999999997</v>
      </c>
      <c r="K77" s="1">
        <f t="shared" si="1"/>
        <v>17.600000000000001</v>
      </c>
    </row>
    <row r="78" spans="1:11" x14ac:dyDescent="0.25">
      <c r="A78" s="1" t="s">
        <v>82</v>
      </c>
      <c r="B78" s="1">
        <v>22.3</v>
      </c>
      <c r="C78" s="1">
        <v>55.755800000000001</v>
      </c>
      <c r="K78" s="1">
        <f t="shared" si="1"/>
        <v>22.9</v>
      </c>
    </row>
    <row r="79" spans="1:11" x14ac:dyDescent="0.25">
      <c r="A79" s="1" t="s">
        <v>83</v>
      </c>
      <c r="B79" s="1">
        <v>23.9</v>
      </c>
      <c r="C79" s="1">
        <v>59.9343</v>
      </c>
      <c r="K79" s="1">
        <f t="shared" si="1"/>
        <v>20.8</v>
      </c>
    </row>
    <row r="80" spans="1:11" x14ac:dyDescent="0.25">
      <c r="A80" s="1" t="s">
        <v>84</v>
      </c>
      <c r="B80" s="1">
        <v>28</v>
      </c>
      <c r="C80" s="1">
        <v>44.616700000000002</v>
      </c>
      <c r="K80" s="1">
        <f t="shared" si="1"/>
        <v>28.3</v>
      </c>
    </row>
    <row r="81" spans="1:11" x14ac:dyDescent="0.25">
      <c r="A81" s="1" t="s">
        <v>85</v>
      </c>
      <c r="B81" s="1">
        <v>28</v>
      </c>
      <c r="C81" s="1">
        <v>45</v>
      </c>
      <c r="K81" s="1">
        <f t="shared" si="1"/>
        <v>28.2</v>
      </c>
    </row>
  </sheetData>
  <mergeCells count="10">
    <mergeCell ref="Q5:W9"/>
    <mergeCell ref="Q4:W4"/>
    <mergeCell ref="M3:W3"/>
    <mergeCell ref="A1:C2"/>
    <mergeCell ref="E3:F3"/>
    <mergeCell ref="E8:F9"/>
    <mergeCell ref="G4:I7"/>
    <mergeCell ref="O4:P4"/>
    <mergeCell ref="O7:P7"/>
    <mergeCell ref="M6:N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Удаление аномалий</vt:lpstr>
      <vt:lpstr>Корреляционный анализ</vt:lpstr>
      <vt:lpstr>Регрессионный анализ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2025-11-24T16:21:05Z</dcterms:created>
  <dcterms:modified xsi:type="dcterms:W3CDTF">2025-11-25T19:00:17Z</dcterms:modified>
</cp:coreProperties>
</file>